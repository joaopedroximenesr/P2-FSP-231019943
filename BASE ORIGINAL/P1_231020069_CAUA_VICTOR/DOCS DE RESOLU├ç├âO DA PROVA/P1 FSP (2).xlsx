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FACULDADE\5º SEMESTRE\FSP\"/>
    </mc:Choice>
  </mc:AlternateContent>
  <xr:revisionPtr revIDLastSave="0" documentId="13_ncr:1_{CC46115D-6443-4721-B03C-DAD45319C016}" xr6:coauthVersionLast="47" xr6:coauthVersionMax="47" xr10:uidLastSave="{00000000-0000-0000-0000-000000000000}"/>
  <bookViews>
    <workbookView xWindow="-120" yWindow="-120" windowWidth="20730" windowHeight="11160" activeTab="1" xr2:uid="{1C09AB37-4326-465F-927A-53392C7BAB4A}"/>
  </bookViews>
  <sheets>
    <sheet name="MACEIÓ" sheetId="2" r:id="rId1"/>
    <sheet name="DUQUE DE CAXIAS" sheetId="14" r:id="rId2"/>
    <sheet name="ESPANHA" sheetId="15" r:id="rId3"/>
    <sheet name="Questão 2" sheetId="3" r:id="rId4"/>
    <sheet name="Questão 3" sheetId="4" r:id="rId5"/>
    <sheet name="Questão 4" sheetId="5" r:id="rId6"/>
    <sheet name="Questão 5" sheetId="6" r:id="rId7"/>
    <sheet name="Questão 6" sheetId="8" r:id="rId8"/>
    <sheet name="Questão 9" sheetId="13" r:id="rId9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5" l="1"/>
  <c r="K11" i="15"/>
  <c r="I11" i="15"/>
  <c r="G11" i="15"/>
  <c r="E11" i="15"/>
  <c r="C11" i="15"/>
  <c r="M10" i="15"/>
  <c r="K10" i="15"/>
  <c r="I10" i="15"/>
  <c r="G10" i="15"/>
  <c r="E10" i="15"/>
  <c r="C10" i="15"/>
  <c r="M9" i="15"/>
  <c r="K9" i="15"/>
  <c r="I9" i="15"/>
  <c r="G9" i="15"/>
  <c r="E9" i="15"/>
  <c r="C9" i="15"/>
  <c r="M8" i="15"/>
  <c r="K8" i="15"/>
  <c r="I8" i="15"/>
  <c r="G8" i="15"/>
  <c r="E8" i="15"/>
  <c r="C8" i="15"/>
  <c r="M7" i="15"/>
  <c r="K7" i="15"/>
  <c r="I7" i="15"/>
  <c r="G7" i="15"/>
  <c r="E7" i="15"/>
  <c r="C7" i="15"/>
  <c r="M6" i="15"/>
  <c r="K6" i="15"/>
  <c r="I6" i="15"/>
  <c r="G6" i="15"/>
  <c r="E6" i="15"/>
  <c r="C6" i="15"/>
  <c r="M5" i="15"/>
  <c r="K5" i="15"/>
  <c r="I5" i="15"/>
  <c r="G5" i="15"/>
  <c r="E5" i="15"/>
  <c r="C5" i="15"/>
  <c r="M4" i="15"/>
  <c r="K4" i="15"/>
  <c r="I4" i="15"/>
  <c r="G4" i="15"/>
  <c r="E4" i="15"/>
  <c r="C4" i="15"/>
  <c r="M3" i="15"/>
  <c r="K3" i="15"/>
  <c r="I3" i="15"/>
  <c r="G3" i="15"/>
  <c r="E3" i="15"/>
  <c r="C3" i="15"/>
  <c r="M2" i="15"/>
  <c r="K2" i="15"/>
  <c r="I2" i="15"/>
  <c r="G2" i="15"/>
  <c r="E2" i="15"/>
  <c r="C2" i="15"/>
  <c r="T11" i="14"/>
  <c r="Q11" i="14"/>
  <c r="R11" i="14" s="1"/>
  <c r="O11" i="14"/>
  <c r="M11" i="14"/>
  <c r="K11" i="14"/>
  <c r="I11" i="14"/>
  <c r="G11" i="14"/>
  <c r="E11" i="14"/>
  <c r="C11" i="14"/>
  <c r="P11" i="14" s="1"/>
  <c r="T10" i="14"/>
  <c r="Q10" i="14"/>
  <c r="R10" i="14" s="1"/>
  <c r="O10" i="14"/>
  <c r="M10" i="14"/>
  <c r="K10" i="14"/>
  <c r="I10" i="14"/>
  <c r="G10" i="14"/>
  <c r="E10" i="14"/>
  <c r="C10" i="14"/>
  <c r="P10" i="14" s="1"/>
  <c r="T9" i="14"/>
  <c r="Q9" i="14"/>
  <c r="R9" i="14" s="1"/>
  <c r="O9" i="14"/>
  <c r="M9" i="14"/>
  <c r="K9" i="14"/>
  <c r="I9" i="14"/>
  <c r="G9" i="14"/>
  <c r="E9" i="14"/>
  <c r="C9" i="14"/>
  <c r="P9" i="14" s="1"/>
  <c r="T8" i="14"/>
  <c r="Q8" i="14"/>
  <c r="R8" i="14" s="1"/>
  <c r="P8" i="14"/>
  <c r="O8" i="14"/>
  <c r="M8" i="14"/>
  <c r="K8" i="14"/>
  <c r="I8" i="14"/>
  <c r="G8" i="14"/>
  <c r="E8" i="14"/>
  <c r="C8" i="14"/>
  <c r="T7" i="14"/>
  <c r="Q7" i="14"/>
  <c r="R7" i="14" s="1"/>
  <c r="O7" i="14"/>
  <c r="M7" i="14"/>
  <c r="K7" i="14"/>
  <c r="I7" i="14"/>
  <c r="G7" i="14"/>
  <c r="P7" i="14" s="1"/>
  <c r="E7" i="14"/>
  <c r="C7" i="14"/>
  <c r="T6" i="14"/>
  <c r="R6" i="14"/>
  <c r="Q6" i="14"/>
  <c r="O6" i="14"/>
  <c r="M6" i="14"/>
  <c r="K6" i="14"/>
  <c r="I6" i="14"/>
  <c r="G6" i="14"/>
  <c r="E6" i="14"/>
  <c r="C6" i="14"/>
  <c r="P6" i="14" s="1"/>
  <c r="T5" i="14"/>
  <c r="Q5" i="14"/>
  <c r="R5" i="14" s="1"/>
  <c r="O5" i="14"/>
  <c r="M5" i="14"/>
  <c r="K5" i="14"/>
  <c r="I5" i="14"/>
  <c r="G5" i="14"/>
  <c r="E5" i="14"/>
  <c r="C5" i="14"/>
  <c r="P5" i="14" s="1"/>
  <c r="T4" i="14"/>
  <c r="Q4" i="14"/>
  <c r="R4" i="14" s="1"/>
  <c r="P4" i="14"/>
  <c r="O4" i="14"/>
  <c r="M4" i="14"/>
  <c r="K4" i="14"/>
  <c r="I4" i="14"/>
  <c r="G4" i="14"/>
  <c r="E4" i="14"/>
  <c r="C4" i="14"/>
  <c r="T3" i="14"/>
  <c r="Q3" i="14"/>
  <c r="R3" i="14" s="1"/>
  <c r="M3" i="14"/>
  <c r="K3" i="14"/>
  <c r="I3" i="14"/>
  <c r="E3" i="14"/>
  <c r="T2" i="14"/>
  <c r="R2" i="14"/>
  <c r="Q2" i="14"/>
  <c r="O2" i="14"/>
  <c r="M2" i="14"/>
  <c r="K2" i="14"/>
  <c r="I2" i="14"/>
  <c r="G2" i="14"/>
  <c r="E2" i="14"/>
  <c r="C2" i="14"/>
  <c r="P2" i="14" s="1"/>
  <c r="G26" i="13"/>
  <c r="G25" i="13"/>
  <c r="G24" i="13"/>
  <c r="G23" i="13"/>
  <c r="G22" i="13"/>
  <c r="G21" i="13"/>
  <c r="G20" i="13"/>
  <c r="G19" i="13"/>
  <c r="G18" i="13"/>
  <c r="G17" i="13"/>
  <c r="E18" i="13"/>
  <c r="E19" i="13"/>
  <c r="E20" i="13"/>
  <c r="E21" i="13"/>
  <c r="E22" i="13"/>
  <c r="E23" i="13"/>
  <c r="E24" i="13"/>
  <c r="E25" i="13"/>
  <c r="E26" i="13"/>
  <c r="E17" i="13"/>
  <c r="C18" i="13"/>
  <c r="C19" i="13"/>
  <c r="C20" i="13"/>
  <c r="C21" i="13"/>
  <c r="C22" i="13"/>
  <c r="C23" i="13"/>
  <c r="C24" i="13"/>
  <c r="C25" i="13"/>
  <c r="C26" i="13"/>
  <c r="C17" i="13"/>
  <c r="G5" i="13"/>
  <c r="G6" i="13"/>
  <c r="G7" i="13"/>
  <c r="G8" i="13"/>
  <c r="G9" i="13"/>
  <c r="G10" i="13"/>
  <c r="G11" i="13"/>
  <c r="G12" i="13"/>
  <c r="G13" i="13"/>
  <c r="G4" i="13"/>
  <c r="E5" i="13"/>
  <c r="E6" i="13"/>
  <c r="E7" i="13"/>
  <c r="E8" i="13"/>
  <c r="E9" i="13"/>
  <c r="E10" i="13"/>
  <c r="E11" i="13"/>
  <c r="E12" i="13"/>
  <c r="E13" i="13"/>
  <c r="E4" i="13"/>
  <c r="C5" i="13"/>
  <c r="C6" i="13"/>
  <c r="C7" i="13"/>
  <c r="C8" i="13"/>
  <c r="C9" i="13"/>
  <c r="C10" i="13"/>
  <c r="C11" i="13"/>
  <c r="C12" i="13"/>
  <c r="C13" i="13"/>
  <c r="C4" i="13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3" i="8"/>
  <c r="E3" i="8" s="1"/>
  <c r="N6" i="8"/>
  <c r="O6" i="8" s="1"/>
  <c r="N4" i="8"/>
  <c r="O4" i="8" s="1"/>
  <c r="N5" i="8"/>
  <c r="O5" i="8" s="1"/>
  <c r="N7" i="8"/>
  <c r="O7" i="8" s="1"/>
  <c r="N8" i="8"/>
  <c r="O8" i="8" s="1"/>
  <c r="N9" i="8"/>
  <c r="O9" i="8" s="1"/>
  <c r="N10" i="8"/>
  <c r="O10" i="8" s="1"/>
  <c r="N11" i="8"/>
  <c r="O11" i="8" s="1"/>
  <c r="N12" i="8"/>
  <c r="O12" i="8" s="1"/>
  <c r="N3" i="8"/>
  <c r="O3" i="8" s="1"/>
  <c r="Q11" i="2"/>
  <c r="Q10" i="2"/>
  <c r="Q9" i="2"/>
  <c r="Q8" i="2"/>
  <c r="Q7" i="2"/>
  <c r="Q6" i="2"/>
  <c r="Q5" i="2"/>
  <c r="Q4" i="2"/>
  <c r="Q3" i="2"/>
  <c r="Q2" i="2"/>
  <c r="R2" i="2" s="1"/>
  <c r="L8" i="6"/>
  <c r="B8" i="6"/>
  <c r="T3" i="2" l="1"/>
  <c r="T4" i="2"/>
  <c r="T5" i="2"/>
  <c r="T6" i="2"/>
  <c r="T7" i="2"/>
  <c r="T8" i="2"/>
  <c r="T9" i="2"/>
  <c r="T10" i="2"/>
  <c r="T11" i="2"/>
  <c r="T2" i="2"/>
  <c r="R3" i="2"/>
  <c r="R4" i="2"/>
  <c r="R5" i="2"/>
  <c r="R6" i="2"/>
  <c r="R7" i="2"/>
  <c r="R8" i="2"/>
  <c r="R9" i="2"/>
  <c r="R10" i="2"/>
  <c r="R11" i="2"/>
  <c r="O3" i="2"/>
  <c r="O4" i="2"/>
  <c r="O5" i="2"/>
  <c r="O6" i="2"/>
  <c r="O7" i="2"/>
  <c r="O8" i="2"/>
  <c r="O9" i="2"/>
  <c r="O10" i="2"/>
  <c r="O11" i="2"/>
  <c r="O2" i="2"/>
  <c r="M3" i="2"/>
  <c r="M4" i="2"/>
  <c r="M5" i="2"/>
  <c r="M6" i="2"/>
  <c r="M7" i="2"/>
  <c r="M8" i="2"/>
  <c r="M9" i="2"/>
  <c r="M10" i="2"/>
  <c r="M11" i="2"/>
  <c r="M2" i="2"/>
  <c r="K3" i="2"/>
  <c r="K4" i="2"/>
  <c r="K5" i="2"/>
  <c r="K6" i="2"/>
  <c r="K7" i="2"/>
  <c r="K8" i="2"/>
  <c r="K9" i="2"/>
  <c r="K10" i="2"/>
  <c r="K11" i="2"/>
  <c r="K2" i="2"/>
  <c r="I3" i="2"/>
  <c r="I4" i="2"/>
  <c r="I5" i="2"/>
  <c r="I6" i="2"/>
  <c r="I7" i="2"/>
  <c r="I8" i="2"/>
  <c r="I9" i="2"/>
  <c r="I10" i="2"/>
  <c r="I11" i="2"/>
  <c r="I2" i="2"/>
  <c r="G3" i="2"/>
  <c r="G4" i="2"/>
  <c r="G5" i="2"/>
  <c r="G6" i="2"/>
  <c r="G7" i="2"/>
  <c r="G8" i="2"/>
  <c r="G9" i="2"/>
  <c r="G10" i="2"/>
  <c r="G11" i="2"/>
  <c r="G2" i="2"/>
  <c r="E3" i="2"/>
  <c r="E4" i="2"/>
  <c r="E5" i="2"/>
  <c r="E6" i="2"/>
  <c r="E7" i="2"/>
  <c r="E8" i="2"/>
  <c r="E9" i="2"/>
  <c r="E10" i="2"/>
  <c r="E11" i="2"/>
  <c r="E2" i="2"/>
  <c r="C3" i="2"/>
  <c r="C4" i="2"/>
  <c r="C5" i="2"/>
  <c r="C6" i="2"/>
  <c r="C7" i="2"/>
  <c r="C8" i="2"/>
  <c r="C9" i="2"/>
  <c r="C10" i="2"/>
  <c r="C11" i="2"/>
  <c r="C2" i="2"/>
  <c r="P2" i="2" s="1"/>
  <c r="P6" i="2" l="1"/>
  <c r="P10" i="2"/>
  <c r="P8" i="2"/>
  <c r="P4" i="2"/>
  <c r="P11" i="2"/>
  <c r="P7" i="2"/>
  <c r="P3" i="2"/>
  <c r="P9" i="2"/>
  <c r="P5" i="2"/>
</calcChain>
</file>

<file path=xl/sharedStrings.xml><?xml version="1.0" encoding="utf-8"?>
<sst xmlns="http://schemas.openxmlformats.org/spreadsheetml/2006/main" count="232" uniqueCount="91">
  <si>
    <t>MACEIO</t>
  </si>
  <si>
    <t>DUQUE DE CAXIAS</t>
  </si>
  <si>
    <t>ANO</t>
  </si>
  <si>
    <t>IDEB</t>
  </si>
  <si>
    <t>RECEITA TRIBUTÁRIA</t>
  </si>
  <si>
    <t>TRANSFERÊNCIAS CORRENTES</t>
  </si>
  <si>
    <t>DESPESA TOTAL</t>
  </si>
  <si>
    <t>DESPESA COM EDUCAÇÃO</t>
  </si>
  <si>
    <t>PIB PER CAPITA</t>
  </si>
  <si>
    <t>POPULAÇÃO</t>
  </si>
  <si>
    <t>1.013.773</t>
  </si>
  <si>
    <t>1.021.709</t>
  </si>
  <si>
    <t>1.029.129</t>
  </si>
  <si>
    <t>1.012.382</t>
  </si>
  <si>
    <t>1.018.948</t>
  </si>
  <si>
    <t>1.025.360</t>
  </si>
  <si>
    <t>1.031.597</t>
  </si>
  <si>
    <t>--</t>
  </si>
  <si>
    <t>RECEITAS CORRENTES</t>
  </si>
  <si>
    <t>PIB MUNICIPAL</t>
  </si>
  <si>
    <t>IPTU</t>
  </si>
  <si>
    <t>FATOR DE CORREÇÃO IPCA</t>
  </si>
  <si>
    <t>RECEITAS CORRENTES - IPCA (2022)</t>
  </si>
  <si>
    <t>RECEITA TRIBUTÁRIA - IPCA (2022)</t>
  </si>
  <si>
    <t>TRANSFERÊNCIAS CORRENTES - IPCA (2022)</t>
  </si>
  <si>
    <t>DESPESA TOTAL - IPCA (2022)</t>
  </si>
  <si>
    <t>DESPESA COM EDUCAÇÃO - IPCA (2022)</t>
  </si>
  <si>
    <t>DESPESA COM SAÚDE - IPCA (2022)</t>
  </si>
  <si>
    <t>DESPESA COM SAÚDE</t>
  </si>
  <si>
    <t>IPTU - IPCA (2022)</t>
  </si>
  <si>
    <t>PIB MUNICIPAL - IPCA (2022)</t>
  </si>
  <si>
    <t>PIB PER CAPITA - IPCA (2022)</t>
  </si>
  <si>
    <t>PIB</t>
  </si>
  <si>
    <t>DIVIDA BRUTA</t>
  </si>
  <si>
    <t>EQUILIBRIO ESTRUTURAL</t>
  </si>
  <si>
    <t>FATOR DE CORREÇÃO - HICP</t>
  </si>
  <si>
    <t>RECEITAS CORRENTES - HICP (2022)</t>
  </si>
  <si>
    <t>DESPESA TOTAL - HICP (2022)</t>
  </si>
  <si>
    <t>DIVIDA BRUTA - HICP (2022)</t>
  </si>
  <si>
    <t>EQUILIBRIO ESTRUTURAL - HICP (2022)</t>
  </si>
  <si>
    <t>PIB - HICP (2022)</t>
  </si>
  <si>
    <t>PIB PER CAPITA - HICP (2022)</t>
  </si>
  <si>
    <t>DEMAIS RECEITAS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</si>
  <si>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</si>
  <si>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</si>
  <si>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</si>
  <si>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</si>
  <si>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</si>
  <si>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</si>
  <si>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</si>
  <si>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</si>
  <si>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</si>
  <si>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</si>
  <si>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</si>
  <si>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</si>
  <si>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</si>
  <si>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</si>
  <si>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</si>
  <si>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</si>
  <si>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</si>
  <si>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</si>
  <si>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</si>
  <si>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</si>
  <si>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</si>
  <si>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</si>
  <si>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</si>
  <si>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</si>
  <si>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CORRELAÇÃO</t>
  </si>
  <si>
    <t>Indicador</t>
  </si>
  <si>
    <t>Maceió</t>
  </si>
  <si>
    <t>Duque de Caxias</t>
  </si>
  <si>
    <t>R²</t>
  </si>
  <si>
    <t>p-valor</t>
  </si>
  <si>
    <t>Sinal β₁</t>
  </si>
  <si>
    <t>Negativo</t>
  </si>
  <si>
    <t>Positivo</t>
  </si>
  <si>
    <t>Significância</t>
  </si>
  <si>
    <t>Não</t>
  </si>
  <si>
    <t>COMPARAÇÃO ENTRE MUNICÍPIOS</t>
  </si>
  <si>
    <r>
      <rPr>
        <b/>
        <sz val="11"/>
        <color theme="1"/>
        <rFont val="Calibri"/>
        <family val="2"/>
        <scheme val="minor"/>
      </rPr>
      <t xml:space="preserve">Conclusão analítica: </t>
    </r>
    <r>
      <rPr>
        <sz val="11"/>
        <color theme="1"/>
        <rFont val="Calibri"/>
        <family val="2"/>
        <scheme val="minor"/>
      </rPr>
      <t>Os dois municípios confirmam que o gasto com educação isoladamente não é suficiente para explicar variações no IDEB, resultado consistente com a literatura de finanças públicas. Em Duque de Caxias a relação é mais forte e no sentido esperado (positivo), sugerindo que o gasto tem alguma influência, mas insuficiente para ser confirmada estatisticamente com apenas 4 ou 5 observações.</t>
    </r>
  </si>
  <si>
    <t>Soma</t>
  </si>
  <si>
    <t>Média</t>
  </si>
  <si>
    <t>Soma Acumulada</t>
  </si>
  <si>
    <t>Contagem</t>
  </si>
  <si>
    <t>DUQUE DE CAXIAS (CARGA TRIBUTÁRIA PROXY)</t>
  </si>
  <si>
    <t>MACEIÓ (CARGA TRIBUTÁRIA PROXY)</t>
  </si>
  <si>
    <t>CARGA (%)</t>
  </si>
  <si>
    <t>CARGA^2 (%)</t>
  </si>
  <si>
    <t>PESO DA DESPESA COM SAUDE</t>
  </si>
  <si>
    <t>MACEIÓ - AL</t>
  </si>
  <si>
    <t>DUQUE DE CAXIAS -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</si>
</sst>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0.00000000"/>
    <numFmt numFmtId="169" formatCode="0.0000"/>
    <numFmt numFmtId="171" formatCode="_-[$€-2]\ * #,##0.00_-;\-[$€-2]\ * #,##0.00_-;_-[$€-2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Source Sans Pro"/>
      <charset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44" fontId="0" fillId="0" borderId="0" xfId="1" quotePrefix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4" fontId="0" fillId="0" borderId="3" xfId="0" applyNumberFormat="1" applyBorder="1" applyAlignment="1">
      <alignment vertical="center" wrapText="1"/>
    </xf>
    <xf numFmtId="10" fontId="0" fillId="0" borderId="3" xfId="0" applyNumberFormat="1" applyBorder="1" applyAlignment="1">
      <alignment vertical="center" wrapText="1"/>
    </xf>
    <xf numFmtId="44" fontId="0" fillId="0" borderId="3" xfId="1" applyFont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44" fontId="6" fillId="0" borderId="3" xfId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9" fontId="6" fillId="0" borderId="3" xfId="2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Espanha: Dinâmica Fiscal em Valores Reais (€ de 2022)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ESPANHA!$C$1</c:f>
              <c:strCache>
                <c:ptCount val="1"/>
                <c:pt idx="0">
                  <c:v>RECEITAS CORRENTES - HICP (2022)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ESPANHA!$A$2:$A$11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ESPANHA!$C$2:$C$11</c:f>
              <c:numCache>
                <c:formatCode>_-[$€-2]\ * #,##0.00_-;\-[$€-2]\ * #,##0.00_-;_-[$€-2]\ * "-"??_-;_-@_-</c:formatCode>
                <c:ptCount val="10"/>
                <c:pt idx="0">
                  <c:v>458659462800.00006</c:v>
                </c:pt>
                <c:pt idx="1">
                  <c:v>473706713600</c:v>
                </c:pt>
                <c:pt idx="2">
                  <c:v>489105230600</c:v>
                </c:pt>
                <c:pt idx="3">
                  <c:v>491196293500</c:v>
                </c:pt>
                <c:pt idx="4">
                  <c:v>506601813300</c:v>
                </c:pt>
                <c:pt idx="5">
                  <c:v>532148994000</c:v>
                </c:pt>
                <c:pt idx="6">
                  <c:v>546036687199.99994</c:v>
                </c:pt>
                <c:pt idx="7">
                  <c:v>525597685200.00006</c:v>
                </c:pt>
                <c:pt idx="8">
                  <c:v>558208598400</c:v>
                </c:pt>
                <c:pt idx="9">
                  <c:v>574095000000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C-41CF-8D02-0BEACC7DE2E9}"/>
            </c:ext>
          </c:extLst>
        </c:ser>
        <c:ser>
          <c:idx val="2"/>
          <c:order val="1"/>
          <c:tx>
            <c:strRef>
              <c:f>ESPANHA!$E$1</c:f>
              <c:strCache>
                <c:ptCount val="1"/>
                <c:pt idx="0">
                  <c:v>DESPESA TOTAL - HICP (2022)</c:v>
                </c:pt>
              </c:strCache>
            </c:strRef>
          </c:tx>
          <c:spPr>
            <a:solidFill>
              <a:schemeClr val="accent3"/>
            </a:solidFill>
            <a:ln w="15875">
              <a:noFill/>
            </a:ln>
            <a:effectLst/>
          </c:spPr>
          <c:invertIfNegative val="0"/>
          <c:cat>
            <c:numRef>
              <c:f>ESPANHA!$A$2:$A$11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ESPANHA!$E$2:$E$11</c:f>
              <c:numCache>
                <c:formatCode>_-[$€-2]\ * #,##0.00_-;\-[$€-2]\ * #,##0.00_-;_-[$€-2]\ * "-"??_-;_-@_-</c:formatCode>
                <c:ptCount val="10"/>
                <c:pt idx="0">
                  <c:v>547514926000.00006</c:v>
                </c:pt>
                <c:pt idx="1">
                  <c:v>547504964800</c:v>
                </c:pt>
                <c:pt idx="2">
                  <c:v>556133139100</c:v>
                </c:pt>
                <c:pt idx="3">
                  <c:v>546507919200</c:v>
                </c:pt>
                <c:pt idx="4">
                  <c:v>547934338500</c:v>
                </c:pt>
                <c:pt idx="5">
                  <c:v>567341564400</c:v>
                </c:pt>
                <c:pt idx="6">
                  <c:v>588638940400</c:v>
                </c:pt>
                <c:pt idx="7">
                  <c:v>652844681100</c:v>
                </c:pt>
                <c:pt idx="8">
                  <c:v>644978556000</c:v>
                </c:pt>
                <c:pt idx="9">
                  <c:v>637831000000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C-41CF-8D02-0BEACC7DE2E9}"/>
            </c:ext>
          </c:extLst>
        </c:ser>
        <c:ser>
          <c:idx val="3"/>
          <c:order val="2"/>
          <c:tx>
            <c:strRef>
              <c:f>ESPANHA!$H$1</c:f>
              <c:strCache>
                <c:ptCount val="1"/>
                <c:pt idx="0">
                  <c:v>EQUILIBRIO ESTRUTURAL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ESPANHA!$A$2:$A$11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ESPANHA!$H$2:$H$11</c:f>
              <c:numCache>
                <c:formatCode>_-[$€-2]\ * #,##0.00_-;\-[$€-2]\ * #,##0.00_-;_-[$€-2]\ * "-"??_-;_-@_-</c:formatCode>
                <c:ptCount val="10"/>
                <c:pt idx="0">
                  <c:v>-19187000000</c:v>
                </c:pt>
                <c:pt idx="1">
                  <c:v>-13331000000</c:v>
                </c:pt>
                <c:pt idx="2">
                  <c:v>-24147000000</c:v>
                </c:pt>
                <c:pt idx="3">
                  <c:v>-28583000000</c:v>
                </c:pt>
                <c:pt idx="4">
                  <c:v>-28020000000</c:v>
                </c:pt>
                <c:pt idx="5">
                  <c:v>-26354000000</c:v>
                </c:pt>
                <c:pt idx="6">
                  <c:v>-37832000000</c:v>
                </c:pt>
                <c:pt idx="7">
                  <c:v>-54937000000</c:v>
                </c:pt>
                <c:pt idx="8">
                  <c:v>-50497000000</c:v>
                </c:pt>
                <c:pt idx="9">
                  <c:v>-60282000000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C-41CF-8D02-0BEACC7DE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68078719"/>
        <c:axId val="1372093551"/>
      </c:barChart>
      <c:catAx>
        <c:axId val="136807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093551"/>
        <c:crosses val="autoZero"/>
        <c:auto val="1"/>
        <c:lblAlgn val="ctr"/>
        <c:lblOffset val="100"/>
        <c:noMultiLvlLbl val="0"/>
      </c:catAx>
      <c:valAx>
        <c:axId val="13720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7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Maceió: Composição das Receitas Correntes em Valores Reais (R$ de 2022)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MACEIÓ!$E$1</c:f>
              <c:strCache>
                <c:ptCount val="1"/>
                <c:pt idx="0">
                  <c:v>RECEITA TRIBUTÁRIA - IPCA (2022)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MACEIÓ!$A$2:$A$11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MACEIÓ!$E$2:$E$11</c:f>
              <c:numCache>
                <c:formatCode>_("R$"* #,##0.00_);_("R$"* \(#,##0.00\);_("R$"* "-"??_);_(@_)</c:formatCode>
                <c:ptCount val="10"/>
                <c:pt idx="0">
                  <c:v>584201463.82702374</c:v>
                </c:pt>
                <c:pt idx="1">
                  <c:v>635369485.87949622</c:v>
                </c:pt>
                <c:pt idx="2">
                  <c:v>621219362.04331279</c:v>
                </c:pt>
                <c:pt idx="3">
                  <c:v>576450222.38565624</c:v>
                </c:pt>
                <c:pt idx="4">
                  <c:v>617157160.70100188</c:v>
                </c:pt>
                <c:pt idx="5">
                  <c:v>689345152.20287728</c:v>
                </c:pt>
                <c:pt idx="6">
                  <c:v>702795554.49933195</c:v>
                </c:pt>
                <c:pt idx="7">
                  <c:v>748407400.25861013</c:v>
                </c:pt>
                <c:pt idx="8">
                  <c:v>830489007.18657756</c:v>
                </c:pt>
                <c:pt idx="9">
                  <c:v>945034303.04580009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D-4854-9964-64162EEDCEE9}"/>
            </c:ext>
          </c:extLst>
        </c:ser>
        <c:ser>
          <c:idx val="2"/>
          <c:order val="1"/>
          <c:tx>
            <c:strRef>
              <c:f>MACEIÓ!$G$1</c:f>
              <c:strCache>
                <c:ptCount val="1"/>
                <c:pt idx="0">
                  <c:v>TRANSFERÊNCIAS CORRENTES - IPCA (2022)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MACEIÓ!$A$2:$A$11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MACEIÓ!$G$2:$G$11</c:f>
              <c:numCache>
                <c:formatCode>_("R$"* #,##0.00_);_("R$"* \(#,##0.00\);_("R$"* "-"??_);_(@_)</c:formatCode>
                <c:ptCount val="10"/>
                <c:pt idx="0">
                  <c:v>1859997457.215163</c:v>
                </c:pt>
                <c:pt idx="1">
                  <c:v>1943193883.4664977</c:v>
                </c:pt>
                <c:pt idx="2">
                  <c:v>1856819645.8200698</c:v>
                </c:pt>
                <c:pt idx="3">
                  <c:v>1894555578.8555512</c:v>
                </c:pt>
                <c:pt idx="4">
                  <c:v>1837860608.6025727</c:v>
                </c:pt>
                <c:pt idx="5">
                  <c:v>1685463813.5236685</c:v>
                </c:pt>
                <c:pt idx="6">
                  <c:v>1967049967.4013288</c:v>
                </c:pt>
                <c:pt idx="7">
                  <c:v>2381791383.5244999</c:v>
                </c:pt>
                <c:pt idx="8">
                  <c:v>2039400304.2316506</c:v>
                </c:pt>
                <c:pt idx="9">
                  <c:v>2127899555.3156002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D-4854-9964-64162EEDCEE9}"/>
            </c:ext>
          </c:extLst>
        </c:ser>
        <c:ser>
          <c:idx val="3"/>
          <c:order val="2"/>
          <c:tx>
            <c:strRef>
              <c:f>MACEIÓ!$P$1</c:f>
              <c:strCache>
                <c:ptCount val="1"/>
                <c:pt idx="0">
                  <c:v>DEMAIS RECEITAS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MACEIÓ!$A$2:$A$11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MACEIÓ!$P$2:$P$11</c:f>
              <c:numCache>
                <c:formatCode>_("R$"* #,##0.00_);_("R$"* \(#,##0.00\);_("R$"* "-"??_);_(@_)</c:formatCode>
                <c:ptCount val="10"/>
                <c:pt idx="0">
                  <c:v>262713268.18999434</c:v>
                </c:pt>
                <c:pt idx="1">
                  <c:v>336404114.23045564</c:v>
                </c:pt>
                <c:pt idx="2">
                  <c:v>360652288.44468927</c:v>
                </c:pt>
                <c:pt idx="3">
                  <c:v>351038655.01347589</c:v>
                </c:pt>
                <c:pt idx="4">
                  <c:v>312537099.00467849</c:v>
                </c:pt>
                <c:pt idx="5">
                  <c:v>287928063.81105804</c:v>
                </c:pt>
                <c:pt idx="6">
                  <c:v>330433612.01019073</c:v>
                </c:pt>
                <c:pt idx="7">
                  <c:v>310600767.58218908</c:v>
                </c:pt>
                <c:pt idx="8">
                  <c:v>311120233.50949168</c:v>
                </c:pt>
                <c:pt idx="9">
                  <c:v>486141795.94199967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D-4854-9964-64162EEDC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72096879"/>
        <c:axId val="1372091887"/>
      </c:barChart>
      <c:catAx>
        <c:axId val="137209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091887"/>
        <c:crosses val="autoZero"/>
        <c:auto val="1"/>
        <c:lblAlgn val="ctr"/>
        <c:lblOffset val="100"/>
        <c:noMultiLvlLbl val="0"/>
      </c:catAx>
      <c:valAx>
        <c:axId val="13720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09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Duque de Caxias: Composição das Receitas Correntes em Valores Reais (R$ de 2022)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'DUQUE DE CAXIAS'!$C$1</c:f>
              <c:strCache>
                <c:ptCount val="1"/>
                <c:pt idx="0">
                  <c:v>RECEITAS CORRENTES - IPCA (2022)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'DUQUE DE CAXIAS'!$A$2:$A$11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'DUQUE DE CAXIAS'!$C$2:$C$11</c:f>
              <c:numCache>
                <c:formatCode>_("R$"* #,##0.00_);_("R$"* \(#,##0.00\);_("R$"* "-"??_);_(@_)</c:formatCode>
                <c:ptCount val="10"/>
                <c:pt idx="0">
                  <c:v>3177757599.183239</c:v>
                </c:pt>
                <c:pt idx="1">
                  <c:v>0</c:v>
                </c:pt>
                <c:pt idx="2">
                  <c:v>3220441562.3967052</c:v>
                </c:pt>
                <c:pt idx="3">
                  <c:v>2881000385.3447723</c:v>
                </c:pt>
                <c:pt idx="4">
                  <c:v>2799000217.6254568</c:v>
                </c:pt>
                <c:pt idx="5">
                  <c:v>3227198006.0558581</c:v>
                </c:pt>
                <c:pt idx="6">
                  <c:v>3307054101.0656247</c:v>
                </c:pt>
                <c:pt idx="7">
                  <c:v>3500218397.3452373</c:v>
                </c:pt>
                <c:pt idx="8">
                  <c:v>4558572128.0876732</c:v>
                </c:pt>
                <c:pt idx="9">
                  <c:v>3934479371.9212084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C-42FE-9A1E-F1E9D85DB4E5}"/>
            </c:ext>
          </c:extLst>
        </c:ser>
        <c:ser>
          <c:idx val="2"/>
          <c:order val="1"/>
          <c:tx>
            <c:strRef>
              <c:f>'DUQUE DE CAXIAS'!$E$1</c:f>
              <c:strCache>
                <c:ptCount val="1"/>
                <c:pt idx="0">
                  <c:v>RECEITA TRIBUTÁRIA - IPCA (2022)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'DUQUE DE CAXIAS'!$A$2:$A$11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'DUQUE DE CAXIAS'!$E$2:$E$11</c:f>
              <c:numCache>
                <c:formatCode>_("R$"* #,##0.00_);_("R$"* \(#,##0.00\);_("R$"* "-"??_);_(@_)</c:formatCode>
                <c:ptCount val="10"/>
                <c:pt idx="0">
                  <c:v>704176487.14493585</c:v>
                </c:pt>
                <c:pt idx="1">
                  <c:v>730078531.08557129</c:v>
                </c:pt>
                <c:pt idx="2">
                  <c:v>753418620.87886989</c:v>
                </c:pt>
                <c:pt idx="3">
                  <c:v>641911823.05649126</c:v>
                </c:pt>
                <c:pt idx="4">
                  <c:v>619991360.49665213</c:v>
                </c:pt>
                <c:pt idx="5">
                  <c:v>688250445.46316767</c:v>
                </c:pt>
                <c:pt idx="6">
                  <c:v>689054877.1016469</c:v>
                </c:pt>
                <c:pt idx="7">
                  <c:v>624091303.71424913</c:v>
                </c:pt>
                <c:pt idx="8">
                  <c:v>821852003.80084336</c:v>
                </c:pt>
                <c:pt idx="9">
                  <c:v>773807414.88855207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C-42FE-9A1E-F1E9D85DB4E5}"/>
            </c:ext>
          </c:extLst>
        </c:ser>
        <c:ser>
          <c:idx val="3"/>
          <c:order val="2"/>
          <c:tx>
            <c:strRef>
              <c:f>'DUQUE DE CAXIAS'!$P$1</c:f>
              <c:strCache>
                <c:ptCount val="1"/>
                <c:pt idx="0">
                  <c:v>DEMAIS RECEITAS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'DUQUE DE CAXIAS'!$A$2:$A$11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'DUQUE DE CAXIAS'!$P$2:$P$11</c:f>
              <c:numCache>
                <c:formatCode>_("R$"* #,##0.00_);_("R$"* \(#,##0.00\);_("R$"* "-"??_);_(@_)</c:formatCode>
                <c:ptCount val="10"/>
                <c:pt idx="0">
                  <c:v>254347997.4358654</c:v>
                </c:pt>
                <c:pt idx="1">
                  <c:v>0</c:v>
                </c:pt>
                <c:pt idx="2">
                  <c:v>340894075.95659995</c:v>
                </c:pt>
                <c:pt idx="3">
                  <c:v>326113639.03096557</c:v>
                </c:pt>
                <c:pt idx="4">
                  <c:v>268918940.73678064</c:v>
                </c:pt>
                <c:pt idx="5">
                  <c:v>215771571.94938421</c:v>
                </c:pt>
                <c:pt idx="6">
                  <c:v>241357446.0498805</c:v>
                </c:pt>
                <c:pt idx="7">
                  <c:v>211932674.10528278</c:v>
                </c:pt>
                <c:pt idx="8">
                  <c:v>318196535.68871355</c:v>
                </c:pt>
                <c:pt idx="9">
                  <c:v>235711403.90325022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C-42FE-9A1E-F1E9D85DB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66250063"/>
        <c:axId val="1366248815"/>
      </c:barChart>
      <c:catAx>
        <c:axId val="13662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248815"/>
        <c:crosses val="autoZero"/>
        <c:auto val="1"/>
        <c:lblAlgn val="ctr"/>
        <c:lblOffset val="100"/>
        <c:noMultiLvlLbl val="0"/>
      </c:catAx>
      <c:valAx>
        <c:axId val="13662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25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Maceió: Receitas Correntes e Despesa Total em Valores Reais (R$ de 2022)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MACEIÓ!$C$1</c:f>
              <c:strCache>
                <c:ptCount val="1"/>
                <c:pt idx="0">
                  <c:v>RECEITAS CORRENTES - IPCA (2022)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MACEIÓ!$A$2:$A$11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MACEIÓ!$C$2:$C$11</c:f>
              <c:numCache>
                <c:formatCode>_("R$"* #,##0.00_);_("R$"* \(#,##0.00\);_("R$"* "-"??_);_(@_)</c:formatCode>
                <c:ptCount val="10"/>
                <c:pt idx="0">
                  <c:v>2706912189.2321811</c:v>
                </c:pt>
                <c:pt idx="1">
                  <c:v>2914967483.5764494</c:v>
                </c:pt>
                <c:pt idx="2">
                  <c:v>2838691296.3080716</c:v>
                </c:pt>
                <c:pt idx="3">
                  <c:v>2822044456.2546835</c:v>
                </c:pt>
                <c:pt idx="4">
                  <c:v>2767554868.3082533</c:v>
                </c:pt>
                <c:pt idx="5">
                  <c:v>2662737029.5376039</c:v>
                </c:pt>
                <c:pt idx="6">
                  <c:v>3000279133.9108515</c:v>
                </c:pt>
                <c:pt idx="7">
                  <c:v>3440799551.3652992</c:v>
                </c:pt>
                <c:pt idx="8">
                  <c:v>3181009544.9277196</c:v>
                </c:pt>
                <c:pt idx="9">
                  <c:v>3559075654.3034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2-4DFA-91FB-7572282CD7E5}"/>
            </c:ext>
          </c:extLst>
        </c:ser>
        <c:ser>
          <c:idx val="2"/>
          <c:order val="1"/>
          <c:tx>
            <c:strRef>
              <c:f>MACEIÓ!$I$1</c:f>
              <c:strCache>
                <c:ptCount val="1"/>
                <c:pt idx="0">
                  <c:v>DESPESA TOTAL - IPCA (2022)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MACEIÓ!$A$2:$A$11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MACEIÓ!$I$2:$I$11</c:f>
              <c:numCache>
                <c:formatCode>_("R$"* #,##0.00_);_("R$"* \(#,##0.00\);_("R$"* "-"??_);_(@_)</c:formatCode>
                <c:ptCount val="10"/>
                <c:pt idx="0">
                  <c:v>2673781589.5241709</c:v>
                </c:pt>
                <c:pt idx="1">
                  <c:v>2809837172.1951203</c:v>
                </c:pt>
                <c:pt idx="2">
                  <c:v>2637914075.752646</c:v>
                </c:pt>
                <c:pt idx="3">
                  <c:v>2507104150.4134526</c:v>
                </c:pt>
                <c:pt idx="4">
                  <c:v>2484442961.9047217</c:v>
                </c:pt>
                <c:pt idx="5">
                  <c:v>2934633943.5857716</c:v>
                </c:pt>
                <c:pt idx="6">
                  <c:v>2717960502.7261248</c:v>
                </c:pt>
                <c:pt idx="7">
                  <c:v>2762415649.0729508</c:v>
                </c:pt>
                <c:pt idx="8">
                  <c:v>2626251373.5250983</c:v>
                </c:pt>
                <c:pt idx="9">
                  <c:v>3212089257.5398002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2-4DFA-91FB-7572282CD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090223"/>
        <c:axId val="1372093135"/>
      </c:lineChart>
      <c:catAx>
        <c:axId val="137209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093135"/>
        <c:crosses val="autoZero"/>
        <c:auto val="1"/>
        <c:lblAlgn val="ctr"/>
        <c:lblOffset val="100"/>
        <c:noMultiLvlLbl val="0"/>
      </c:catAx>
      <c:valAx>
        <c:axId val="137209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09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Duque de Caxias: Receitas Correntes e Despesa Total em Valores Reais (R$ de 2022)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'DUQUE DE CAXIAS'!$C$1</c:f>
              <c:strCache>
                <c:ptCount val="1"/>
                <c:pt idx="0">
                  <c:v>RECEITAS CORRENTES - IPCA (2022)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'DUQUE DE CAXIAS'!$A$2:$A$11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'DUQUE DE CAXIAS'!$C$2:$C$11</c:f>
              <c:numCache>
                <c:formatCode>_("R$"* #,##0.00_);_("R$"* \(#,##0.00\);_("R$"* "-"??_);_(@_)</c:formatCode>
                <c:ptCount val="10"/>
                <c:pt idx="0">
                  <c:v>3177757599.183239</c:v>
                </c:pt>
                <c:pt idx="1">
                  <c:v>0</c:v>
                </c:pt>
                <c:pt idx="2">
                  <c:v>3220441562.3967052</c:v>
                </c:pt>
                <c:pt idx="3">
                  <c:v>2881000385.3447723</c:v>
                </c:pt>
                <c:pt idx="4">
                  <c:v>2799000217.6254568</c:v>
                </c:pt>
                <c:pt idx="5">
                  <c:v>3227198006.0558581</c:v>
                </c:pt>
                <c:pt idx="6">
                  <c:v>3307054101.0656247</c:v>
                </c:pt>
                <c:pt idx="7">
                  <c:v>3500218397.3452373</c:v>
                </c:pt>
                <c:pt idx="8">
                  <c:v>4558572128.0876732</c:v>
                </c:pt>
                <c:pt idx="9">
                  <c:v>3934479371.9212084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A-4176-A1E8-9AC5B72A374B}"/>
            </c:ext>
          </c:extLst>
        </c:ser>
        <c:ser>
          <c:idx val="2"/>
          <c:order val="1"/>
          <c:tx>
            <c:strRef>
              <c:f>'DUQUE DE CAXIAS'!$I$1</c:f>
              <c:strCache>
                <c:ptCount val="1"/>
                <c:pt idx="0">
                  <c:v>DESPESA TOTAL - IPCA (2022)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'DUQUE DE CAXIAS'!$A$2:$A$11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'DUQUE DE CAXIAS'!$I$2:$I$11</c:f>
              <c:numCache>
                <c:formatCode>_("R$"* #,##0.00_);_("R$"* \(#,##0.00\);_("R$"* "-"??_);_(@_)</c:formatCode>
                <c:ptCount val="10"/>
                <c:pt idx="0">
                  <c:v>2946694515.0487304</c:v>
                </c:pt>
                <c:pt idx="1">
                  <c:v>3159193208.9126024</c:v>
                </c:pt>
                <c:pt idx="2">
                  <c:v>3368396676.0440993</c:v>
                </c:pt>
                <c:pt idx="3">
                  <c:v>3095822477.4008794</c:v>
                </c:pt>
                <c:pt idx="4">
                  <c:v>2841648483.3923802</c:v>
                </c:pt>
                <c:pt idx="5">
                  <c:v>2897243778.1587334</c:v>
                </c:pt>
                <c:pt idx="6">
                  <c:v>3043537679.6388035</c:v>
                </c:pt>
                <c:pt idx="7">
                  <c:v>3287770594.8308725</c:v>
                </c:pt>
                <c:pt idx="8">
                  <c:v>3621693661.6581984</c:v>
                </c:pt>
                <c:pt idx="9">
                  <c:v>4071594355.7054262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A-4176-A1E8-9AC5B72A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74559"/>
        <c:axId val="1368064575"/>
      </c:lineChart>
      <c:catAx>
        <c:axId val="136807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64575"/>
        <c:crosses val="autoZero"/>
        <c:auto val="1"/>
        <c:lblAlgn val="ctr"/>
        <c:lblOffset val="100"/>
        <c:noMultiLvlLbl val="0"/>
      </c:catAx>
      <c:valAx>
        <c:axId val="13680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7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Duque</a:t>
            </a:r>
            <a:r>
              <a:rPr lang="en-US" baseline="0"/>
              <a:t> de Caxias: Gasto com Educação x IDEB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'Questão 5'!$M$2</c:f>
              <c:strCache>
                <c:ptCount val="1"/>
                <c:pt idx="0">
                  <c:v>IDEB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932195975503057E-2"/>
                  <c:y val="-1.841389617964425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R² = 0,347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918416447944007E-2"/>
                  <c:y val="6.02898075240594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5'!$L$3:$L$7</c:f>
              <c:numCache>
                <c:formatCode>_("R$"* #,##0.00_);_("R$"* \(#,##0.00\);_("R$"* "-"??_);_(@_)</c:formatCode>
                <c:ptCount val="5"/>
                <c:pt idx="0">
                  <c:v>966523978.99000001</c:v>
                </c:pt>
                <c:pt idx="1">
                  <c:v>1060942548.74</c:v>
                </c:pt>
                <c:pt idx="2">
                  <c:v>892821788.69000006</c:v>
                </c:pt>
                <c:pt idx="3">
                  <c:v>937299647.54999995</c:v>
                </c:pt>
                <c:pt idx="4">
                  <c:v>718978168.13999999</c:v>
                </c:pt>
              </c:numCache>
            </c:numRef>
          </c:xVal>
          <c:yVal>
            <c:numRef>
              <c:f>'Questão 5'!$M$3:$M$7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4.5</c:v>
                </c:pt>
                <c:pt idx="2">
                  <c:v>4.5999999999999996</c:v>
                </c:pt>
                <c:pt idx="3">
                  <c:v>4.7</c:v>
                </c:pt>
                <c:pt idx="4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0-4AFC-9383-8B9017F65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078303"/>
        <c:axId val="1562010175"/>
      </c:scatterChart>
      <c:valAx>
        <c:axId val="136807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2010175"/>
        <c:crosses val="autoZero"/>
        <c:crossBetween val="midCat"/>
      </c:valAx>
      <c:valAx>
        <c:axId val="156201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7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Maceió: Gasto com Educação x IDEB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'Questão 5'!$C$2</c:f>
              <c:strCache>
                <c:ptCount val="1"/>
                <c:pt idx="0">
                  <c:v>IDEB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782195975503063"/>
                  <c:y val="-6.124526100904053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1E-08x - 0,203</a:t>
                    </a:r>
                    <a:br>
                      <a:rPr lang="en-US" baseline="0"/>
                    </a:br>
                    <a:r>
                      <a:rPr lang="en-US" baseline="0"/>
                      <a:t>R² = 0,078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'Questão 5'!$B$3:$B$7</c:f>
              <c:numCache>
                <c:formatCode>_("R$"* #,##0.00_);_("R$"* \(#,##0.00\);_("R$"* "-"??_);_(@_)</c:formatCode>
                <c:ptCount val="5"/>
                <c:pt idx="0">
                  <c:v>365646539.66000003</c:v>
                </c:pt>
                <c:pt idx="1">
                  <c:v>406630736.13</c:v>
                </c:pt>
                <c:pt idx="2">
                  <c:v>410444804.08999997</c:v>
                </c:pt>
                <c:pt idx="3">
                  <c:v>402228510.5</c:v>
                </c:pt>
                <c:pt idx="4">
                  <c:v>427916351.79000002</c:v>
                </c:pt>
              </c:numCache>
            </c:numRef>
          </c:xVal>
          <c:yVal>
            <c:numRef>
              <c:f>'Questão 5'!$C$3:$C$7</c:f>
              <c:numCache>
                <c:formatCode>General</c:formatCode>
                <c:ptCount val="5"/>
                <c:pt idx="0">
                  <c:v>4.0999999999999996</c:v>
                </c:pt>
                <c:pt idx="1">
                  <c:v>4.4000000000000004</c:v>
                </c:pt>
                <c:pt idx="2">
                  <c:v>5</c:v>
                </c:pt>
                <c:pt idx="3">
                  <c:v>5.4</c:v>
                </c:pt>
                <c:pt idx="4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C-40DB-AE66-123C3D7A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951679"/>
        <c:axId val="1622953343"/>
      </c:scatterChart>
      <c:valAx>
        <c:axId val="162295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953343"/>
        <c:crosses val="autoZero"/>
        <c:crossBetween val="midCat"/>
      </c:valAx>
      <c:valAx>
        <c:axId val="162295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9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506306</xdr:colOff>
      <xdr:row>24</xdr:row>
      <xdr:rowOff>80963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BE0E9E-BEDC-47C8-AFBD-7694A8A30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285750</xdr:colOff>
      <xdr:row>23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61BDD5-E9AA-4E7D-9A2C-2F358F45D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291353</xdr:colOff>
      <xdr:row>0</xdr:row>
      <xdr:rowOff>0</xdr:rowOff>
    </xdr:from>
    <xdr:to>
      <xdr:col>22</xdr:col>
      <xdr:colOff>571499</xdr:colOff>
      <xdr:row>23</xdr:row>
      <xdr:rowOff>100853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084391-120C-4DE4-A7AB-49BD2B4F8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542924</xdr:colOff>
      <xdr:row>19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4040AA-8230-4791-8C14-4E2223D0F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0</xdr:row>
      <xdr:rowOff>0</xdr:rowOff>
    </xdr:from>
    <xdr:to>
      <xdr:col>19</xdr:col>
      <xdr:colOff>476250</xdr:colOff>
      <xdr:row>19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8E81D2-6E81-4920-9B07-93847E5CB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28</xdr:row>
      <xdr:rowOff>14287</xdr:rowOff>
    </xdr:from>
    <xdr:to>
      <xdr:col>19</xdr:col>
      <xdr:colOff>400050</xdr:colOff>
      <xdr:row>42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234265-AC34-4947-9E47-E94729E95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27</xdr:row>
      <xdr:rowOff>176212</xdr:rowOff>
    </xdr:from>
    <xdr:to>
      <xdr:col>13</xdr:col>
      <xdr:colOff>742950</xdr:colOff>
      <xdr:row>42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7C5358-D258-401F-A99A-EC8EE633D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A044-179C-4D32-9AC7-04659E320BB9}">
  <dimension ref="A1:W11"/>
  <sheetViews>
    <sheetView zoomScale="90" zoomScaleNormal="90" workbookViewId="0">
      <pane xSplit="1" topLeftCell="B1" activePane="topRight" state="frozen"/>
      <selection pane="topRight" activeCell="D15" sqref="D15"/>
    </sheetView>
  </sheetViews>
  <sheetFormatPr defaultRowHeight="15" x14ac:dyDescent="0.25"/>
  <cols>
    <col min="1" max="1" width="5.5703125" bestFit="1" customWidth="1"/>
    <col min="2" max="2" width="22" bestFit="1" customWidth="1"/>
    <col min="3" max="5" width="20.140625" customWidth="1"/>
    <col min="6" max="6" width="22.140625" bestFit="1" customWidth="1"/>
    <col min="7" max="7" width="23.28515625" bestFit="1" customWidth="1"/>
    <col min="8" max="9" width="20.140625" customWidth="1"/>
    <col min="10" max="11" width="22.140625" bestFit="1" customWidth="1"/>
    <col min="12" max="16" width="20.140625" customWidth="1"/>
    <col min="17" max="17" width="20.140625" style="2" customWidth="1"/>
    <col min="18" max="18" width="23.140625" style="2" bestFit="1" customWidth="1"/>
    <col min="19" max="21" width="20.140625" customWidth="1"/>
    <col min="22" max="22" width="5" bestFit="1" customWidth="1"/>
    <col min="23" max="23" width="20.140625" customWidth="1"/>
  </cols>
  <sheetData>
    <row r="1" spans="1:23" s="5" customFormat="1" ht="45" x14ac:dyDescent="0.25">
      <c r="A1" s="6" t="s">
        <v>2</v>
      </c>
      <c r="B1" s="6" t="s">
        <v>18</v>
      </c>
      <c r="C1" s="6" t="s">
        <v>22</v>
      </c>
      <c r="D1" s="6" t="s">
        <v>4</v>
      </c>
      <c r="E1" s="6" t="s">
        <v>23</v>
      </c>
      <c r="F1" s="6" t="s">
        <v>5</v>
      </c>
      <c r="G1" s="6" t="s">
        <v>24</v>
      </c>
      <c r="H1" s="6" t="s">
        <v>6</v>
      </c>
      <c r="I1" s="6" t="s">
        <v>25</v>
      </c>
      <c r="J1" s="6" t="s">
        <v>7</v>
      </c>
      <c r="K1" s="6" t="s">
        <v>26</v>
      </c>
      <c r="L1" s="6" t="s">
        <v>28</v>
      </c>
      <c r="M1" s="6" t="s">
        <v>27</v>
      </c>
      <c r="N1" s="6" t="s">
        <v>20</v>
      </c>
      <c r="O1" s="6" t="s">
        <v>29</v>
      </c>
      <c r="P1" s="6" t="s">
        <v>42</v>
      </c>
      <c r="Q1" s="7" t="s">
        <v>19</v>
      </c>
      <c r="R1" s="7" t="s">
        <v>30</v>
      </c>
      <c r="S1" s="6" t="s">
        <v>8</v>
      </c>
      <c r="T1" s="6" t="s">
        <v>31</v>
      </c>
      <c r="U1" s="6" t="s">
        <v>9</v>
      </c>
      <c r="V1" s="6" t="s">
        <v>3</v>
      </c>
      <c r="W1" s="6" t="s">
        <v>21</v>
      </c>
    </row>
    <row r="2" spans="1:23" x14ac:dyDescent="0.25">
      <c r="A2" s="1">
        <v>2013</v>
      </c>
      <c r="B2" s="9">
        <v>1584813974</v>
      </c>
      <c r="C2" s="9">
        <f>B2*W2</f>
        <v>2706912189.2321811</v>
      </c>
      <c r="D2" s="9">
        <v>342032019.80000001</v>
      </c>
      <c r="E2" s="9">
        <f>D2*W2</f>
        <v>584201463.82702374</v>
      </c>
      <c r="F2" s="9">
        <v>1088971402</v>
      </c>
      <c r="G2" s="9">
        <f>F2*W2</f>
        <v>1859997457.215163</v>
      </c>
      <c r="H2" s="9">
        <v>1565417025.1099999</v>
      </c>
      <c r="I2" s="9">
        <f>H2*W2</f>
        <v>2673781589.5241709</v>
      </c>
      <c r="J2" s="9">
        <v>214074822.19</v>
      </c>
      <c r="K2" s="9">
        <f>J2*W2</f>
        <v>365646539.65741897</v>
      </c>
      <c r="L2" s="9">
        <v>477335697.99000001</v>
      </c>
      <c r="M2" s="9">
        <f>L2*W2</f>
        <v>815304408.24140668</v>
      </c>
      <c r="N2" s="9">
        <v>70792764.689999998</v>
      </c>
      <c r="O2" s="9">
        <f>N2*W2</f>
        <v>120916272.06260772</v>
      </c>
      <c r="P2" s="9">
        <f>C2-E2-G2</f>
        <v>262713268.18999434</v>
      </c>
      <c r="Q2" s="4">
        <f>16456725*1000</f>
        <v>16456725000</v>
      </c>
      <c r="R2" s="4">
        <f>Q2*W2</f>
        <v>28108604686.837498</v>
      </c>
      <c r="S2" s="10">
        <v>16510.669999999998</v>
      </c>
      <c r="T2" s="10">
        <f>S2*W2</f>
        <v>28200.744446104996</v>
      </c>
      <c r="U2" s="11">
        <v>996733</v>
      </c>
      <c r="V2" s="1">
        <v>4.0999999999999996</v>
      </c>
      <c r="W2" s="12">
        <v>1.7080314999999999</v>
      </c>
    </row>
    <row r="3" spans="1:23" x14ac:dyDescent="0.25">
      <c r="A3" s="1">
        <v>2014</v>
      </c>
      <c r="B3" s="9">
        <v>1807499404</v>
      </c>
      <c r="C3" s="9">
        <f>B3*W3</f>
        <v>2914967483.5764494</v>
      </c>
      <c r="D3" s="9">
        <v>393976939.19999999</v>
      </c>
      <c r="E3" s="9">
        <f>D3*W3</f>
        <v>635369485.87949622</v>
      </c>
      <c r="F3" s="9">
        <v>1204926575</v>
      </c>
      <c r="G3" s="9">
        <f>F3*W3</f>
        <v>1943193883.4664977</v>
      </c>
      <c r="H3" s="9">
        <v>1742310692.21</v>
      </c>
      <c r="I3" s="9">
        <f>H3*W3</f>
        <v>2809837172.1951203</v>
      </c>
      <c r="J3" s="9">
        <v>152759377.47</v>
      </c>
      <c r="K3" s="9">
        <f>J3*W3</f>
        <v>246356163.18932453</v>
      </c>
      <c r="L3" s="9">
        <v>556742142.69000006</v>
      </c>
      <c r="M3" s="9">
        <f>L3*W3</f>
        <v>897862117.73380482</v>
      </c>
      <c r="N3" s="9">
        <v>79626582.409999996</v>
      </c>
      <c r="O3" s="9">
        <f>N3*W3</f>
        <v>128414370.7266586</v>
      </c>
      <c r="P3" s="9">
        <f>C3-E3-G3</f>
        <v>336404114.23045564</v>
      </c>
      <c r="Q3" s="13">
        <f>18266729.17*1000</f>
        <v>18266729170</v>
      </c>
      <c r="R3" s="4">
        <f>Q3*W3</f>
        <v>29458887479.581944</v>
      </c>
      <c r="S3" s="10">
        <v>18170.080000000002</v>
      </c>
      <c r="T3" s="10">
        <f>S3*W3</f>
        <v>29303.020657584006</v>
      </c>
      <c r="U3" s="11">
        <v>1005319</v>
      </c>
      <c r="V3" s="14" t="s">
        <v>17</v>
      </c>
      <c r="W3" s="12">
        <v>1.6127073000000001</v>
      </c>
    </row>
    <row r="4" spans="1:23" x14ac:dyDescent="0.25">
      <c r="A4" s="1">
        <v>2015</v>
      </c>
      <c r="B4" s="9">
        <v>1872989514.9400001</v>
      </c>
      <c r="C4" s="9">
        <f>B4*W4</f>
        <v>2838691296.3080716</v>
      </c>
      <c r="D4" s="9">
        <v>409885130.19999999</v>
      </c>
      <c r="E4" s="9">
        <f>D4*W4</f>
        <v>621219362.04331279</v>
      </c>
      <c r="F4" s="9">
        <v>1225143337.0999999</v>
      </c>
      <c r="G4" s="9">
        <f>F4*W4</f>
        <v>1856819645.8200698</v>
      </c>
      <c r="H4" s="9">
        <v>1740515219.6800001</v>
      </c>
      <c r="I4" s="9">
        <f>H4*W4</f>
        <v>2637914075.752646</v>
      </c>
      <c r="J4" s="9">
        <v>268297967.52000001</v>
      </c>
      <c r="K4" s="9">
        <f>J4*W4</f>
        <v>406630736.12591338</v>
      </c>
      <c r="L4" s="9">
        <v>524669394.06</v>
      </c>
      <c r="M4" s="9">
        <f>L4*W4</f>
        <v>795185680.68709278</v>
      </c>
      <c r="N4" s="9">
        <v>90538285.280000001</v>
      </c>
      <c r="O4" s="9">
        <f>N4*W4</f>
        <v>137219263.83299926</v>
      </c>
      <c r="P4" s="9">
        <f>C4-E4-G4</f>
        <v>360652288.44468927</v>
      </c>
      <c r="Q4" s="4">
        <f>20690141.02*1000</f>
        <v>20690141020</v>
      </c>
      <c r="R4" s="4">
        <f>Q4*W4</f>
        <v>31357849451.037674</v>
      </c>
      <c r="S4" s="10">
        <v>20409.05</v>
      </c>
      <c r="T4" s="10">
        <f>S4*W4</f>
        <v>30931.82964389</v>
      </c>
      <c r="U4" s="15" t="s">
        <v>10</v>
      </c>
      <c r="V4" s="1">
        <v>4.4000000000000004</v>
      </c>
      <c r="W4" s="12">
        <v>1.5155938</v>
      </c>
    </row>
    <row r="5" spans="1:23" x14ac:dyDescent="0.25">
      <c r="A5" s="1">
        <v>2016</v>
      </c>
      <c r="B5" s="9">
        <v>2060746863.8399999</v>
      </c>
      <c r="C5" s="9">
        <f>B5*W5</f>
        <v>2822044456.2546835</v>
      </c>
      <c r="D5" s="9">
        <v>420942336.79000002</v>
      </c>
      <c r="E5" s="9">
        <f>D5*W5</f>
        <v>576450222.38565624</v>
      </c>
      <c r="F5" s="9">
        <v>1383464905.6800001</v>
      </c>
      <c r="G5" s="9">
        <f>F5*W5</f>
        <v>1894555578.8555512</v>
      </c>
      <c r="H5" s="9">
        <v>1830767408.3</v>
      </c>
      <c r="I5" s="9">
        <f>H5*W5</f>
        <v>2507104150.4134526</v>
      </c>
      <c r="J5" s="9">
        <v>300766770.13</v>
      </c>
      <c r="K5" s="9">
        <f>J5*W5</f>
        <v>411878436.48558569</v>
      </c>
      <c r="L5" s="9">
        <v>561382779.53999996</v>
      </c>
      <c r="M5" s="9">
        <f>L5*W5</f>
        <v>768773297.01990306</v>
      </c>
      <c r="N5" s="9">
        <v>97881458.870000005</v>
      </c>
      <c r="O5" s="9">
        <f>N5*W5</f>
        <v>134041610.45742637</v>
      </c>
      <c r="P5" s="9">
        <f>C5-E5-G5</f>
        <v>351038655.01347589</v>
      </c>
      <c r="Q5" s="4">
        <f>21305267.56*1000</f>
        <v>21305267560</v>
      </c>
      <c r="R5" s="4">
        <f>Q5*W5</f>
        <v>29176029944.155682</v>
      </c>
      <c r="S5" s="10">
        <v>20852.580000000002</v>
      </c>
      <c r="T5" s="10">
        <f>S5*W5</f>
        <v>28556.106924240004</v>
      </c>
      <c r="U5" s="15" t="s">
        <v>11</v>
      </c>
      <c r="V5" s="14" t="s">
        <v>17</v>
      </c>
      <c r="W5" s="12">
        <v>1.3694280000000001</v>
      </c>
    </row>
    <row r="6" spans="1:23" x14ac:dyDescent="0.25">
      <c r="A6" s="1">
        <v>2017</v>
      </c>
      <c r="B6" s="9">
        <v>2148035786</v>
      </c>
      <c r="C6" s="9">
        <f>B6*W6</f>
        <v>2767554868.3082533</v>
      </c>
      <c r="D6" s="9">
        <v>479006101</v>
      </c>
      <c r="E6" s="9">
        <f>D6*W6</f>
        <v>617157160.70100188</v>
      </c>
      <c r="F6" s="9">
        <v>1426454233</v>
      </c>
      <c r="G6" s="9">
        <f>F6*W6</f>
        <v>1837860608.6025727</v>
      </c>
      <c r="H6" s="9">
        <v>1928298676.77</v>
      </c>
      <c r="I6" s="9">
        <f>H6*W6</f>
        <v>2484442961.9047217</v>
      </c>
      <c r="J6" s="9">
        <v>318566449.19999999</v>
      </c>
      <c r="K6" s="9">
        <f>J6*W6</f>
        <v>410444804.09002548</v>
      </c>
      <c r="L6" s="9">
        <v>611218439.71000004</v>
      </c>
      <c r="M6" s="9">
        <f>L6*W6</f>
        <v>787501111.22179663</v>
      </c>
      <c r="N6" s="9">
        <v>107822541.59999999</v>
      </c>
      <c r="O6" s="9">
        <f>N6*W6</f>
        <v>138919845.68568504</v>
      </c>
      <c r="P6" s="9">
        <f>C6-E6-G6</f>
        <v>312537099.00467849</v>
      </c>
      <c r="Q6" s="4">
        <f>21841865.82*1000</f>
        <v>21841865820</v>
      </c>
      <c r="R6" s="4">
        <f>Q6*W6</f>
        <v>28141319840.691257</v>
      </c>
      <c r="S6" s="10">
        <v>21223.64</v>
      </c>
      <c r="T6" s="10">
        <f>S6*W6</f>
        <v>27344.790337316001</v>
      </c>
      <c r="U6" s="15" t="s">
        <v>12</v>
      </c>
      <c r="V6" s="1">
        <v>5</v>
      </c>
      <c r="W6" s="12">
        <v>1.2884119000000001</v>
      </c>
    </row>
    <row r="7" spans="1:23" x14ac:dyDescent="0.25">
      <c r="A7" s="1">
        <v>2018</v>
      </c>
      <c r="B7" s="9">
        <v>2127593789</v>
      </c>
      <c r="C7" s="9">
        <f>B7*W7</f>
        <v>2662737029.5376039</v>
      </c>
      <c r="D7" s="9">
        <v>550804096.70000005</v>
      </c>
      <c r="E7" s="9">
        <f>D7*W7</f>
        <v>689345152.20287728</v>
      </c>
      <c r="F7" s="9">
        <v>1346727935</v>
      </c>
      <c r="G7" s="9">
        <f>F7*W7</f>
        <v>1685463813.5236685</v>
      </c>
      <c r="H7" s="9">
        <v>2344846254.8499999</v>
      </c>
      <c r="I7" s="9">
        <f>H7*W7</f>
        <v>2934633943.5857716</v>
      </c>
      <c r="J7" s="9">
        <v>360097253.85000002</v>
      </c>
      <c r="K7" s="9">
        <f>J7*W7</f>
        <v>450670751.63434666</v>
      </c>
      <c r="L7" s="9">
        <v>774301904.96000004</v>
      </c>
      <c r="M7" s="9">
        <f>L7*W7</f>
        <v>969058269.0352546</v>
      </c>
      <c r="N7" s="9">
        <v>144307786.09999999</v>
      </c>
      <c r="O7" s="9">
        <f>N7*W7</f>
        <v>180604816.42958111</v>
      </c>
      <c r="P7" s="9">
        <f>C7-E7-G7</f>
        <v>287928063.81105804</v>
      </c>
      <c r="Q7" s="4">
        <f>22397271.57*1000</f>
        <v>22397271570</v>
      </c>
      <c r="R7" s="4">
        <f>Q7*W7</f>
        <v>28030747541.371407</v>
      </c>
      <c r="S7" s="10">
        <v>22123.34</v>
      </c>
      <c r="T7" s="10">
        <f>S7*W7</f>
        <v>27687.915305834002</v>
      </c>
      <c r="U7" s="15" t="s">
        <v>13</v>
      </c>
      <c r="V7" s="14" t="s">
        <v>17</v>
      </c>
      <c r="W7" s="12">
        <v>1.2515251000000001</v>
      </c>
    </row>
    <row r="8" spans="1:23" x14ac:dyDescent="0.25">
      <c r="A8" s="1">
        <v>2019</v>
      </c>
      <c r="B8" s="9">
        <v>2487088762</v>
      </c>
      <c r="C8" s="9">
        <f>B8*W8</f>
        <v>3000279133.9108515</v>
      </c>
      <c r="D8" s="9">
        <v>582584102.20000005</v>
      </c>
      <c r="E8" s="9">
        <f>D8*W8</f>
        <v>702795554.49933195</v>
      </c>
      <c r="F8" s="9">
        <v>1630590905</v>
      </c>
      <c r="G8" s="9">
        <f>F8*W8</f>
        <v>1967049967.4013288</v>
      </c>
      <c r="H8" s="9">
        <v>2253060038.8099999</v>
      </c>
      <c r="I8" s="9">
        <f>H8*W8</f>
        <v>2717960502.7261248</v>
      </c>
      <c r="J8" s="9">
        <v>333428312.36000001</v>
      </c>
      <c r="K8" s="9">
        <f>J8*W8</f>
        <v>402228510.50332463</v>
      </c>
      <c r="L8" s="9">
        <v>728467527.53999996</v>
      </c>
      <c r="M8" s="9">
        <f>L8*W8</f>
        <v>878780828.4141531</v>
      </c>
      <c r="N8" s="9">
        <v>147889035.40000001</v>
      </c>
      <c r="O8" s="9">
        <f>N8*W8</f>
        <v>178404725.1646997</v>
      </c>
      <c r="P8" s="9">
        <f>C8-E8-G8</f>
        <v>330433612.01019073</v>
      </c>
      <c r="Q8" s="4">
        <f>23367033.64*1000</f>
        <v>23367033640</v>
      </c>
      <c r="R8" s="4">
        <f>Q8*W8</f>
        <v>28188629421.938148</v>
      </c>
      <c r="S8" s="10">
        <v>22932.51</v>
      </c>
      <c r="T8" s="10">
        <f>S8*W8</f>
        <v>27664.445391917998</v>
      </c>
      <c r="U8" s="15" t="s">
        <v>14</v>
      </c>
      <c r="V8" s="1">
        <v>5.4</v>
      </c>
      <c r="W8" s="12">
        <v>1.2063417999999999</v>
      </c>
    </row>
    <row r="9" spans="1:23" x14ac:dyDescent="0.25">
      <c r="A9" s="1">
        <v>2020</v>
      </c>
      <c r="B9" s="9">
        <v>2975078656</v>
      </c>
      <c r="C9" s="9">
        <f>B9*W9</f>
        <v>3440799551.3652992</v>
      </c>
      <c r="D9" s="9">
        <v>647108571.5</v>
      </c>
      <c r="E9" s="9">
        <f>D9*W9</f>
        <v>748407400.25861013</v>
      </c>
      <c r="F9" s="9">
        <v>2059409914</v>
      </c>
      <c r="G9" s="9">
        <f>F9*W9</f>
        <v>2381791383.5244999</v>
      </c>
      <c r="H9" s="9">
        <v>2388515725.4499998</v>
      </c>
      <c r="I9" s="9">
        <f>H9*W9</f>
        <v>2762415649.0729508</v>
      </c>
      <c r="J9" s="9">
        <v>322329642.19999999</v>
      </c>
      <c r="K9" s="9">
        <f>J9*W9</f>
        <v>372787350.02073753</v>
      </c>
      <c r="L9" s="9">
        <v>785345027.55999994</v>
      </c>
      <c r="M9" s="9">
        <f>L9*W9</f>
        <v>908283487.91576171</v>
      </c>
      <c r="N9" s="9">
        <v>140170780.80000001</v>
      </c>
      <c r="O9" s="9">
        <f>N9*W9</f>
        <v>162113212.94597858</v>
      </c>
      <c r="P9" s="9">
        <f>C9-E9-G9</f>
        <v>310600767.58218908</v>
      </c>
      <c r="Q9" s="4">
        <f>22926009.54*1000</f>
        <v>22926009540</v>
      </c>
      <c r="R9" s="4">
        <f>Q9*W9</f>
        <v>26514863121.598282</v>
      </c>
      <c r="S9" s="10">
        <v>22358.99</v>
      </c>
      <c r="T9" s="10">
        <f>S9*W9</f>
        <v>25859.081945893005</v>
      </c>
      <c r="U9" s="15" t="s">
        <v>15</v>
      </c>
      <c r="V9" s="14" t="s">
        <v>17</v>
      </c>
      <c r="W9" s="12">
        <v>1.1565407000000001</v>
      </c>
    </row>
    <row r="10" spans="1:23" x14ac:dyDescent="0.25">
      <c r="A10" s="1">
        <v>2021</v>
      </c>
      <c r="B10" s="9">
        <v>2874699400</v>
      </c>
      <c r="C10" s="9">
        <f>B10*W10</f>
        <v>3181009544.9277196</v>
      </c>
      <c r="D10" s="9">
        <v>750518417.79999995</v>
      </c>
      <c r="E10" s="9">
        <f>D10*W10</f>
        <v>830489007.18657756</v>
      </c>
      <c r="F10" s="9">
        <v>1843019566</v>
      </c>
      <c r="G10" s="9">
        <f>F10*W10</f>
        <v>2039400304.2316506</v>
      </c>
      <c r="H10" s="9">
        <v>2373360765.2199998</v>
      </c>
      <c r="I10" s="9">
        <f>H10*W10</f>
        <v>2626251373.5250983</v>
      </c>
      <c r="J10" s="9">
        <v>386710842.06999999</v>
      </c>
      <c r="K10" s="9">
        <f>J10*W10</f>
        <v>427916351.79375833</v>
      </c>
      <c r="L10" s="9">
        <v>757830612.74000001</v>
      </c>
      <c r="M10" s="9">
        <f>L10*W10</f>
        <v>838580344.28377533</v>
      </c>
      <c r="N10" s="9">
        <v>174495378.69999999</v>
      </c>
      <c r="O10" s="9">
        <f>N10*W10</f>
        <v>193088524.38292402</v>
      </c>
      <c r="P10" s="9">
        <f>C10-E10-G10</f>
        <v>311120233.50949168</v>
      </c>
      <c r="Q10" s="4">
        <f>27485310.65*1000</f>
        <v>27485310650</v>
      </c>
      <c r="R10" s="4">
        <f>Q10*W10</f>
        <v>30413974943.937969</v>
      </c>
      <c r="S10" s="10">
        <v>26643.46</v>
      </c>
      <c r="T10" s="10">
        <f>S10*W10</f>
        <v>29482.421908147997</v>
      </c>
      <c r="U10" s="15" t="s">
        <v>16</v>
      </c>
      <c r="V10" s="1">
        <v>4.8</v>
      </c>
      <c r="W10" s="12">
        <v>1.1065537999999999</v>
      </c>
    </row>
    <row r="11" spans="1:23" x14ac:dyDescent="0.25">
      <c r="A11" s="1">
        <v>2022</v>
      </c>
      <c r="B11" s="9">
        <v>3539959871</v>
      </c>
      <c r="C11" s="9">
        <f>B11*W11</f>
        <v>3559075654.3034</v>
      </c>
      <c r="D11" s="9">
        <v>939958527</v>
      </c>
      <c r="E11" s="9">
        <f>D11*W11</f>
        <v>945034303.04580009</v>
      </c>
      <c r="F11" s="9">
        <v>2116470614</v>
      </c>
      <c r="G11" s="9">
        <f>F11*W11</f>
        <v>2127899555.3156002</v>
      </c>
      <c r="H11" s="9">
        <v>3194837137</v>
      </c>
      <c r="I11" s="9">
        <f>H11*W11</f>
        <v>3212089257.5398002</v>
      </c>
      <c r="J11" s="9">
        <v>728303509</v>
      </c>
      <c r="K11" s="9">
        <f>J11*W11</f>
        <v>732236347.94860005</v>
      </c>
      <c r="L11" s="9">
        <v>862104716.5</v>
      </c>
      <c r="M11" s="9">
        <f>L11*W11</f>
        <v>866760081.96910012</v>
      </c>
      <c r="N11" s="9">
        <v>202072171.09999999</v>
      </c>
      <c r="O11" s="9">
        <f>N11*W11</f>
        <v>203163360.82394001</v>
      </c>
      <c r="P11" s="9">
        <f>C11-E11-G11</f>
        <v>486141795.94199967</v>
      </c>
      <c r="Q11" s="4">
        <f>29381840.39*1000</f>
        <v>29381840390</v>
      </c>
      <c r="R11" s="4">
        <f>Q11*W11</f>
        <v>29540502328.106003</v>
      </c>
      <c r="S11" s="10">
        <v>30672.67</v>
      </c>
      <c r="T11" s="10">
        <f>S11*W11</f>
        <v>30838.302417999999</v>
      </c>
      <c r="U11" s="11">
        <v>957916</v>
      </c>
      <c r="V11" s="14" t="s">
        <v>17</v>
      </c>
      <c r="W11" s="12">
        <v>1.0054000000000001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DA7-CE38-4317-890E-20FE388A5E35}">
  <dimension ref="A1:W11"/>
  <sheetViews>
    <sheetView tabSelected="1" topLeftCell="L1" workbookViewId="0">
      <selection activeCell="O15" sqref="O15"/>
    </sheetView>
  </sheetViews>
  <sheetFormatPr defaultRowHeight="15" x14ac:dyDescent="0.25"/>
  <cols>
    <col min="1" max="1" width="5.140625" bestFit="1" customWidth="1"/>
    <col min="2" max="3" width="19.5703125" bestFit="1" customWidth="1"/>
    <col min="4" max="5" width="18" bestFit="1" customWidth="1"/>
    <col min="6" max="9" width="19.5703125" bestFit="1" customWidth="1"/>
    <col min="10" max="10" width="18" bestFit="1" customWidth="1"/>
    <col min="11" max="13" width="19.5703125" bestFit="1" customWidth="1"/>
    <col min="14" max="16" width="18" bestFit="1" customWidth="1"/>
    <col min="17" max="17" width="19.28515625" bestFit="1" customWidth="1"/>
    <col min="18" max="18" width="19.140625" bestFit="1" customWidth="1"/>
    <col min="21" max="21" width="8.140625" bestFit="1" customWidth="1"/>
    <col min="22" max="22" width="5" bestFit="1" customWidth="1"/>
    <col min="23" max="23" width="10.5703125" bestFit="1" customWidth="1"/>
  </cols>
  <sheetData>
    <row r="1" spans="1:23" ht="60" x14ac:dyDescent="0.25">
      <c r="A1" s="8" t="s">
        <v>2</v>
      </c>
      <c r="B1" s="6" t="s">
        <v>18</v>
      </c>
      <c r="C1" s="6" t="s">
        <v>22</v>
      </c>
      <c r="D1" s="6" t="s">
        <v>4</v>
      </c>
      <c r="E1" s="6" t="s">
        <v>23</v>
      </c>
      <c r="F1" s="6" t="s">
        <v>5</v>
      </c>
      <c r="G1" s="6" t="s">
        <v>24</v>
      </c>
      <c r="H1" s="6" t="s">
        <v>6</v>
      </c>
      <c r="I1" s="6" t="s">
        <v>25</v>
      </c>
      <c r="J1" s="6" t="s">
        <v>7</v>
      </c>
      <c r="K1" s="6" t="s">
        <v>26</v>
      </c>
      <c r="L1" s="6" t="s">
        <v>28</v>
      </c>
      <c r="M1" s="6" t="s">
        <v>27</v>
      </c>
      <c r="N1" s="6" t="s">
        <v>20</v>
      </c>
      <c r="O1" s="6" t="s">
        <v>29</v>
      </c>
      <c r="P1" s="6" t="s">
        <v>42</v>
      </c>
      <c r="Q1" s="7" t="s">
        <v>19</v>
      </c>
      <c r="R1" s="7" t="s">
        <v>30</v>
      </c>
      <c r="S1" s="6" t="s">
        <v>8</v>
      </c>
      <c r="T1" s="6" t="s">
        <v>31</v>
      </c>
      <c r="U1" s="6" t="s">
        <v>9</v>
      </c>
      <c r="V1" s="6" t="s">
        <v>3</v>
      </c>
      <c r="W1" s="6" t="s">
        <v>21</v>
      </c>
    </row>
    <row r="2" spans="1:23" x14ac:dyDescent="0.25">
      <c r="A2" s="1">
        <v>2013</v>
      </c>
      <c r="B2" s="9">
        <v>1860479504.73</v>
      </c>
      <c r="C2" s="9">
        <f>B2*W2</f>
        <v>3177757599.183239</v>
      </c>
      <c r="D2" s="9">
        <v>412273712.25</v>
      </c>
      <c r="E2" s="9">
        <f>D2*W2</f>
        <v>704176487.14493585</v>
      </c>
      <c r="F2" s="9">
        <v>1299292849.46</v>
      </c>
      <c r="G2" s="9">
        <f>F2*W2</f>
        <v>2219233114.602438</v>
      </c>
      <c r="H2" s="9">
        <v>1725199163.51</v>
      </c>
      <c r="I2" s="9">
        <f>H2*W2</f>
        <v>2946694515.0487304</v>
      </c>
      <c r="J2" s="9">
        <v>565870113.63</v>
      </c>
      <c r="K2" s="9">
        <f>J2*W2</f>
        <v>966523978.98861933</v>
      </c>
      <c r="L2" s="9">
        <v>434112784.87</v>
      </c>
      <c r="M2" s="9">
        <f>L2*W2</f>
        <v>741478311.11068332</v>
      </c>
      <c r="N2" s="9">
        <v>53551266.439999998</v>
      </c>
      <c r="O2" s="9">
        <f>N2*W2</f>
        <v>91467249.944412857</v>
      </c>
      <c r="P2" s="9">
        <f>C2-E2-G2</f>
        <v>254347997.4358654</v>
      </c>
      <c r="Q2" s="4">
        <f>24855259*1000</f>
        <v>24855259000</v>
      </c>
      <c r="R2" s="4">
        <f>Q2*W2</f>
        <v>42453565312.658501</v>
      </c>
      <c r="S2" s="10">
        <v>28441.08</v>
      </c>
      <c r="T2" s="10">
        <f>S2*W2</f>
        <v>48578.260534020003</v>
      </c>
      <c r="U2" s="11">
        <v>873921</v>
      </c>
      <c r="V2" s="1">
        <v>4.4000000000000004</v>
      </c>
      <c r="W2" s="12">
        <v>1.7080314999999999</v>
      </c>
    </row>
    <row r="3" spans="1:23" x14ac:dyDescent="0.25">
      <c r="A3" s="1">
        <v>2014</v>
      </c>
      <c r="B3" s="16">
        <v>0</v>
      </c>
      <c r="C3" s="16">
        <v>0</v>
      </c>
      <c r="D3" s="9">
        <v>452703681</v>
      </c>
      <c r="E3" s="9">
        <f>D3*W3</f>
        <v>730078531.08557129</v>
      </c>
      <c r="F3" s="16">
        <v>0</v>
      </c>
      <c r="G3" s="16">
        <v>0</v>
      </c>
      <c r="H3" s="9">
        <v>1958937749.53</v>
      </c>
      <c r="I3" s="9">
        <f>H3*W3</f>
        <v>3159193208.9126024</v>
      </c>
      <c r="J3" s="9">
        <v>595332322.85000002</v>
      </c>
      <c r="K3" s="9">
        <f>J3*W3</f>
        <v>960096782.98615193</v>
      </c>
      <c r="L3" s="9">
        <v>532332688.31</v>
      </c>
      <c r="M3" s="9">
        <f>L3*W3</f>
        <v>858496812.46616173</v>
      </c>
      <c r="N3" s="16">
        <v>0</v>
      </c>
      <c r="O3" s="16">
        <v>0</v>
      </c>
      <c r="P3" s="16">
        <v>0</v>
      </c>
      <c r="Q3" s="17">
        <f>28862818.72*1000</f>
        <v>28862818720</v>
      </c>
      <c r="R3" s="4">
        <f>Q3*W3</f>
        <v>46547278448.320656</v>
      </c>
      <c r="S3" s="10">
        <v>32858.33</v>
      </c>
      <c r="T3" s="10">
        <f>S3*W3</f>
        <v>52990.868656809005</v>
      </c>
      <c r="U3" s="11">
        <v>878402</v>
      </c>
      <c r="V3" s="14" t="s">
        <v>17</v>
      </c>
      <c r="W3" s="12">
        <v>1.6127073000000001</v>
      </c>
    </row>
    <row r="4" spans="1:23" x14ac:dyDescent="0.25">
      <c r="A4" s="1">
        <v>2015</v>
      </c>
      <c r="B4" s="9">
        <v>2124871164.29</v>
      </c>
      <c r="C4" s="9">
        <f>B4*W4</f>
        <v>3220441562.3967052</v>
      </c>
      <c r="D4" s="9">
        <v>497111179.05000001</v>
      </c>
      <c r="E4" s="9">
        <f>D4*W4</f>
        <v>753418620.87886989</v>
      </c>
      <c r="F4" s="9">
        <v>1402835552.3499999</v>
      </c>
      <c r="G4" s="9">
        <f>F4*W4</f>
        <v>2126128865.5612352</v>
      </c>
      <c r="H4" s="9">
        <v>2222493042.6900001</v>
      </c>
      <c r="I4" s="9">
        <f>H4*W4</f>
        <v>3368396676.0440993</v>
      </c>
      <c r="J4" s="9">
        <v>700017741.38999999</v>
      </c>
      <c r="K4" s="9">
        <f>J4*W4</f>
        <v>1060942548.7406874</v>
      </c>
      <c r="L4" s="9">
        <v>583285998.07000005</v>
      </c>
      <c r="M4" s="9">
        <f>L4*W4</f>
        <v>884024642.30170405</v>
      </c>
      <c r="N4" s="9">
        <v>66565004.640000001</v>
      </c>
      <c r="O4" s="9">
        <f>N4*W4</f>
        <v>100885508.32935522</v>
      </c>
      <c r="P4" s="9">
        <f>C4-E4-G4</f>
        <v>340894075.95659995</v>
      </c>
      <c r="Q4" s="4">
        <f>35294440.41*1000</f>
        <v>35294440410</v>
      </c>
      <c r="R4" s="4">
        <f>Q4*W4</f>
        <v>53492035059.865456</v>
      </c>
      <c r="S4" s="10">
        <v>39983.32</v>
      </c>
      <c r="T4" s="10">
        <f>S4*W4</f>
        <v>60598.471895415998</v>
      </c>
      <c r="U4" s="11">
        <v>882729</v>
      </c>
      <c r="V4" s="1">
        <v>4.5</v>
      </c>
      <c r="W4" s="12">
        <v>1.5155938</v>
      </c>
    </row>
    <row r="5" spans="1:23" x14ac:dyDescent="0.25">
      <c r="A5" s="1">
        <v>2016</v>
      </c>
      <c r="B5" s="9">
        <v>2103798363.51</v>
      </c>
      <c r="C5" s="9">
        <f>B5*W5</f>
        <v>2881000385.3447723</v>
      </c>
      <c r="D5" s="9">
        <v>468744485.32999998</v>
      </c>
      <c r="E5" s="9">
        <f>D5*W5</f>
        <v>641911823.05649126</v>
      </c>
      <c r="F5" s="9">
        <v>1396915298.4000001</v>
      </c>
      <c r="G5" s="9">
        <f>F5*W5</f>
        <v>1912974923.2573154</v>
      </c>
      <c r="H5" s="9">
        <v>2260668306.3299999</v>
      </c>
      <c r="I5" s="9">
        <f>H5*W5</f>
        <v>3095822477.4008794</v>
      </c>
      <c r="J5" s="9">
        <v>722163677.61000001</v>
      </c>
      <c r="K5" s="9">
        <f>J5*W5</f>
        <v>988951160.70210719</v>
      </c>
      <c r="L5" s="9">
        <v>566672558.84000003</v>
      </c>
      <c r="M5" s="9">
        <f>L5*W5</f>
        <v>776017268.90714359</v>
      </c>
      <c r="N5" s="9">
        <v>76677279.849999994</v>
      </c>
      <c r="O5" s="9">
        <f>N5*W5</f>
        <v>105004013.9904258</v>
      </c>
      <c r="P5" s="9">
        <f>C5-E5-G5</f>
        <v>326113639.03096557</v>
      </c>
      <c r="Q5" s="4">
        <f>41539673.41*1000</f>
        <v>41539673410</v>
      </c>
      <c r="R5" s="4">
        <f>Q5*W5</f>
        <v>56885591878.509483</v>
      </c>
      <c r="S5" s="10">
        <v>46836.03</v>
      </c>
      <c r="T5" s="10">
        <f>S5*W5</f>
        <v>64138.570890840005</v>
      </c>
      <c r="U5" s="11">
        <v>886917</v>
      </c>
      <c r="V5" s="14" t="s">
        <v>17</v>
      </c>
      <c r="W5" s="12">
        <v>1.3694280000000001</v>
      </c>
    </row>
    <row r="6" spans="1:23" x14ac:dyDescent="0.25">
      <c r="A6" s="1">
        <v>2017</v>
      </c>
      <c r="B6" s="9">
        <v>2172442072</v>
      </c>
      <c r="C6" s="9">
        <f>B6*W6</f>
        <v>2799000217.6254568</v>
      </c>
      <c r="D6" s="9">
        <v>481205863.19999999</v>
      </c>
      <c r="E6" s="9">
        <f>D6*W6</f>
        <v>619991360.49665213</v>
      </c>
      <c r="F6" s="9">
        <v>1482514960</v>
      </c>
      <c r="G6" s="9">
        <f>F6*W6</f>
        <v>1910089916.392024</v>
      </c>
      <c r="H6" s="9">
        <v>2205543493.8099999</v>
      </c>
      <c r="I6" s="9">
        <f>H6*W6</f>
        <v>2841648483.3923802</v>
      </c>
      <c r="J6" s="9">
        <v>692963010.26999998</v>
      </c>
      <c r="K6" s="9">
        <f>J6*W6</f>
        <v>892821788.69169021</v>
      </c>
      <c r="L6" s="9">
        <v>486474699.87</v>
      </c>
      <c r="M6" s="9">
        <f>L6*W6</f>
        <v>626779792.36143649</v>
      </c>
      <c r="N6" s="9">
        <v>71550378.420000002</v>
      </c>
      <c r="O6" s="9">
        <f>N6*W6</f>
        <v>92186359.005831197</v>
      </c>
      <c r="P6" s="9">
        <f>C6-E6-G6</f>
        <v>268918940.73678064</v>
      </c>
      <c r="Q6" s="4">
        <f>40904755.78*1000</f>
        <v>40904755780</v>
      </c>
      <c r="R6" s="4">
        <f>Q6*W6</f>
        <v>52702174113.545784</v>
      </c>
      <c r="S6" s="10">
        <v>45908.97</v>
      </c>
      <c r="T6" s="10">
        <f>S6*W6</f>
        <v>59149.663264743001</v>
      </c>
      <c r="U6" s="11">
        <v>890997</v>
      </c>
      <c r="V6" s="1">
        <v>4.5999999999999996</v>
      </c>
      <c r="W6" s="12">
        <v>1.2884119000000001</v>
      </c>
    </row>
    <row r="7" spans="1:23" x14ac:dyDescent="0.25">
      <c r="A7" s="1">
        <v>2018</v>
      </c>
      <c r="B7" s="9">
        <v>2578612291.5599999</v>
      </c>
      <c r="C7" s="9">
        <f>B7*W7</f>
        <v>3227198006.0558581</v>
      </c>
      <c r="D7" s="9">
        <v>549929398.50999999</v>
      </c>
      <c r="E7" s="9">
        <f>D7*W7</f>
        <v>688250445.46316767</v>
      </c>
      <c r="F7" s="9">
        <v>1856275985.71</v>
      </c>
      <c r="G7" s="9">
        <f>F7*W7</f>
        <v>2323175988.6433063</v>
      </c>
      <c r="H7" s="9">
        <v>2314970573.23</v>
      </c>
      <c r="I7" s="9">
        <f>H7*W7</f>
        <v>2897243778.1587334</v>
      </c>
      <c r="J7" s="9">
        <v>757763075.46000004</v>
      </c>
      <c r="K7" s="9">
        <f>J7*W7</f>
        <v>948359508.7913841</v>
      </c>
      <c r="L7" s="9">
        <v>573551650.44000006</v>
      </c>
      <c r="M7" s="9">
        <f>L7*W7</f>
        <v>717814286.67208612</v>
      </c>
      <c r="N7" s="9">
        <v>106107677.3</v>
      </c>
      <c r="O7" s="9">
        <f>N7*W7</f>
        <v>132796421.44365023</v>
      </c>
      <c r="P7" s="9">
        <f>C7-E7-G7</f>
        <v>215771571.94938421</v>
      </c>
      <c r="Q7" s="4">
        <f>41581756.77*1000</f>
        <v>41581756770</v>
      </c>
      <c r="R7" s="4">
        <f>Q7*W7</f>
        <v>52040612299.749931</v>
      </c>
      <c r="S7" s="10">
        <v>45475.21</v>
      </c>
      <c r="T7" s="10">
        <f>S7*W7</f>
        <v>56913.366742771002</v>
      </c>
      <c r="U7" s="11">
        <v>914383</v>
      </c>
      <c r="V7" s="14" t="s">
        <v>17</v>
      </c>
      <c r="W7" s="12">
        <v>1.2515251000000001</v>
      </c>
    </row>
    <row r="8" spans="1:23" x14ac:dyDescent="0.25">
      <c r="A8" s="1">
        <v>2019</v>
      </c>
      <c r="B8" s="9">
        <v>2741390625</v>
      </c>
      <c r="C8" s="9">
        <f>B8*W8</f>
        <v>3307054101.0656247</v>
      </c>
      <c r="D8" s="9">
        <v>571193733.89999998</v>
      </c>
      <c r="E8" s="9">
        <f>D8*W8</f>
        <v>689054877.1016469</v>
      </c>
      <c r="F8" s="9">
        <v>1970123043</v>
      </c>
      <c r="G8" s="9">
        <f>F8*W8</f>
        <v>2376641777.9140973</v>
      </c>
      <c r="H8" s="9">
        <v>2522948039.8000002</v>
      </c>
      <c r="I8" s="9">
        <f>H8*W8</f>
        <v>3043537679.6388035</v>
      </c>
      <c r="J8" s="9">
        <v>776976846.49000001</v>
      </c>
      <c r="K8" s="9">
        <f>J8*W8</f>
        <v>937299647.55307019</v>
      </c>
      <c r="L8" s="9">
        <v>647637984.12</v>
      </c>
      <c r="M8" s="9">
        <f>L8*W8</f>
        <v>781272771.51169217</v>
      </c>
      <c r="N8" s="9">
        <v>111975224.09999999</v>
      </c>
      <c r="O8" s="9">
        <f>N8*W8</f>
        <v>135080393.39619735</v>
      </c>
      <c r="P8" s="9">
        <f>C8-E8-G8</f>
        <v>241357446.0498805</v>
      </c>
      <c r="Q8" s="4">
        <f>45373762.38*1000</f>
        <v>45373762380</v>
      </c>
      <c r="R8" s="4">
        <f>Q8*W8</f>
        <v>54736266182.261482</v>
      </c>
      <c r="S8" s="10">
        <v>49340.97</v>
      </c>
      <c r="T8" s="10">
        <f>S8*W8</f>
        <v>59522.074563545997</v>
      </c>
      <c r="U8" s="11">
        <v>919596</v>
      </c>
      <c r="V8" s="1">
        <v>4.7</v>
      </c>
      <c r="W8" s="12">
        <v>1.2063417999999999</v>
      </c>
    </row>
    <row r="9" spans="1:23" x14ac:dyDescent="0.25">
      <c r="A9" s="1">
        <v>2020</v>
      </c>
      <c r="B9" s="9">
        <v>3026455011.3499999</v>
      </c>
      <c r="C9" s="9">
        <f>B9*W9</f>
        <v>3500218397.3452373</v>
      </c>
      <c r="D9" s="9">
        <v>539618972.09000003</v>
      </c>
      <c r="E9" s="9">
        <f>D9*W9</f>
        <v>624091303.71424913</v>
      </c>
      <c r="F9" s="9">
        <v>2303588986.9899998</v>
      </c>
      <c r="G9" s="9">
        <f>F9*W9</f>
        <v>2664194419.5257053</v>
      </c>
      <c r="H9" s="9">
        <v>2842762554.5999999</v>
      </c>
      <c r="I9" s="9">
        <f>H9*W9</f>
        <v>3287770594.8308725</v>
      </c>
      <c r="J9" s="9">
        <v>613571060.72000003</v>
      </c>
      <c r="K9" s="9">
        <f>J9*W9</f>
        <v>709619904.0648514</v>
      </c>
      <c r="L9" s="9">
        <v>896484203.96000004</v>
      </c>
      <c r="M9" s="9">
        <f>L9*W9</f>
        <v>1036820468.7868413</v>
      </c>
      <c r="N9" s="9">
        <v>107459503.2</v>
      </c>
      <c r="O9" s="9">
        <f>N9*W9</f>
        <v>124281289.05258025</v>
      </c>
      <c r="P9" s="9">
        <f>C9-E9-G9</f>
        <v>211932674.10528278</v>
      </c>
      <c r="Q9" s="4">
        <f>47194544.23*1000</f>
        <v>47194544230</v>
      </c>
      <c r="R9" s="4">
        <f>Q9*W9</f>
        <v>54582411219.945168</v>
      </c>
      <c r="S9" s="10">
        <v>51041.88</v>
      </c>
      <c r="T9" s="10">
        <f>S9*W9</f>
        <v>59032.011624516002</v>
      </c>
      <c r="U9" s="11">
        <v>924624</v>
      </c>
      <c r="V9" s="14" t="s">
        <v>17</v>
      </c>
      <c r="W9" s="12">
        <v>1.1565407000000001</v>
      </c>
    </row>
    <row r="10" spans="1:23" x14ac:dyDescent="0.25">
      <c r="A10" s="1">
        <v>2021</v>
      </c>
      <c r="B10" s="9">
        <v>4119611832.7800002</v>
      </c>
      <c r="C10" s="9">
        <f>B10*W10</f>
        <v>4558572128.0876732</v>
      </c>
      <c r="D10" s="9">
        <v>742713100.62</v>
      </c>
      <c r="E10" s="9">
        <f>D10*W10</f>
        <v>821852003.80084336</v>
      </c>
      <c r="F10" s="9">
        <v>3089342414.8000002</v>
      </c>
      <c r="G10" s="9">
        <f>F10*W10</f>
        <v>3418523588.5981164</v>
      </c>
      <c r="H10" s="9">
        <v>3272948555.8299999</v>
      </c>
      <c r="I10" s="9">
        <f>H10*W10</f>
        <v>3621693661.6581984</v>
      </c>
      <c r="J10" s="9">
        <v>649745333.78999996</v>
      </c>
      <c r="K10" s="9">
        <f>J10*W10</f>
        <v>718978168.13759279</v>
      </c>
      <c r="L10" s="9">
        <v>1060772497.73</v>
      </c>
      <c r="M10" s="9">
        <f>L10*W10</f>
        <v>1173801838.2986228</v>
      </c>
      <c r="N10" s="9">
        <v>126920351.5</v>
      </c>
      <c r="O10" s="9">
        <f>N10*W10</f>
        <v>140444197.2496607</v>
      </c>
      <c r="P10" s="9">
        <f>C10-E10-G10</f>
        <v>318196535.68871355</v>
      </c>
      <c r="Q10" s="4">
        <f>53136503.85*1000</f>
        <v>53136503850</v>
      </c>
      <c r="R10" s="4">
        <f>Q10*W10</f>
        <v>58798400253.932129</v>
      </c>
      <c r="S10" s="10">
        <v>57169.9</v>
      </c>
      <c r="T10" s="10">
        <f>S10*W10</f>
        <v>63261.57009062</v>
      </c>
      <c r="U10" s="11">
        <v>929449</v>
      </c>
      <c r="V10" s="1">
        <v>4.3</v>
      </c>
      <c r="W10" s="12">
        <v>1.1065537999999999</v>
      </c>
    </row>
    <row r="11" spans="1:23" x14ac:dyDescent="0.25">
      <c r="A11" s="1">
        <v>2022</v>
      </c>
      <c r="B11" s="9">
        <v>3913347296.52</v>
      </c>
      <c r="C11" s="9">
        <f>B11*W11</f>
        <v>3934479371.9212084</v>
      </c>
      <c r="D11" s="9">
        <v>769651297.88</v>
      </c>
      <c r="E11" s="9">
        <f>D11*W11</f>
        <v>773807414.88855207</v>
      </c>
      <c r="F11" s="9">
        <v>2909250599.8899999</v>
      </c>
      <c r="G11" s="9">
        <f>F11*W11</f>
        <v>2924960553.129406</v>
      </c>
      <c r="H11" s="9">
        <v>4049725836.1900001</v>
      </c>
      <c r="I11" s="9">
        <f>H11*W11</f>
        <v>4071594355.7054262</v>
      </c>
      <c r="J11" s="9">
        <v>831153222.57000005</v>
      </c>
      <c r="K11" s="9">
        <f>J11*W11</f>
        <v>835641449.97187817</v>
      </c>
      <c r="L11" s="9">
        <v>1511470199.4300001</v>
      </c>
      <c r="M11" s="9">
        <f>L11*W11</f>
        <v>1519632138.5069222</v>
      </c>
      <c r="N11" s="9">
        <v>140172081</v>
      </c>
      <c r="O11" s="9">
        <f>N11*W11</f>
        <v>140929010.2374</v>
      </c>
      <c r="P11" s="9">
        <f>C11-E11-G11</f>
        <v>235711403.90325022</v>
      </c>
      <c r="Q11" s="4">
        <f>65861332.85*1000</f>
        <v>65861332850</v>
      </c>
      <c r="R11" s="4">
        <f>Q11*W11</f>
        <v>66216984047.390007</v>
      </c>
      <c r="S11" s="10">
        <v>81496.22</v>
      </c>
      <c r="T11" s="10">
        <f>S11*W11</f>
        <v>81936.299588000009</v>
      </c>
      <c r="U11" s="11">
        <v>808161</v>
      </c>
      <c r="V11" s="14" t="s">
        <v>17</v>
      </c>
      <c r="W11" s="12">
        <v>1.0054000000000001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8AF1-0B13-4D2C-A6B5-57D03177D670}">
  <dimension ref="A1:O11"/>
  <sheetViews>
    <sheetView workbookViewId="0">
      <selection activeCell="D12" sqref="D12"/>
    </sheetView>
  </sheetViews>
  <sheetFormatPr defaultRowHeight="15" x14ac:dyDescent="0.25"/>
  <cols>
    <col min="1" max="1" width="5.140625" bestFit="1" customWidth="1"/>
    <col min="2" max="5" width="20.42578125" bestFit="1" customWidth="1"/>
    <col min="6" max="7" width="22.140625" bestFit="1" customWidth="1"/>
    <col min="8" max="9" width="19.42578125" bestFit="1" customWidth="1"/>
    <col min="10" max="11" width="22.140625" bestFit="1" customWidth="1"/>
    <col min="12" max="13" width="12" bestFit="1" customWidth="1"/>
    <col min="14" max="14" width="10.140625" bestFit="1" customWidth="1"/>
    <col min="15" max="15" width="8" bestFit="1" customWidth="1"/>
  </cols>
  <sheetData>
    <row r="1" spans="1:15" ht="75" x14ac:dyDescent="0.25">
      <c r="A1" s="6" t="s">
        <v>2</v>
      </c>
      <c r="B1" s="6" t="s">
        <v>18</v>
      </c>
      <c r="C1" s="6" t="s">
        <v>36</v>
      </c>
      <c r="D1" s="6" t="s">
        <v>6</v>
      </c>
      <c r="E1" s="6" t="s">
        <v>37</v>
      </c>
      <c r="F1" s="6" t="s">
        <v>33</v>
      </c>
      <c r="G1" s="6" t="s">
        <v>38</v>
      </c>
      <c r="H1" s="6" t="s">
        <v>34</v>
      </c>
      <c r="I1" s="6" t="s">
        <v>39</v>
      </c>
      <c r="J1" s="6" t="s">
        <v>32</v>
      </c>
      <c r="K1" s="6" t="s">
        <v>40</v>
      </c>
      <c r="L1" s="6" t="s">
        <v>8</v>
      </c>
      <c r="M1" s="6" t="s">
        <v>41</v>
      </c>
      <c r="N1" s="6" t="s">
        <v>9</v>
      </c>
      <c r="O1" s="6" t="s">
        <v>35</v>
      </c>
    </row>
    <row r="2" spans="1:15" x14ac:dyDescent="0.25">
      <c r="A2" s="8">
        <v>2013</v>
      </c>
      <c r="B2" s="19">
        <v>396627000000</v>
      </c>
      <c r="C2" s="19">
        <f>B2*O2</f>
        <v>458659462800.00006</v>
      </c>
      <c r="D2" s="19">
        <v>473465000000</v>
      </c>
      <c r="E2" s="19">
        <f>D2*O2</f>
        <v>547514926000.00006</v>
      </c>
      <c r="F2" s="19">
        <v>1025655000000</v>
      </c>
      <c r="G2" s="19">
        <f>F2*O2</f>
        <v>1186067442000</v>
      </c>
      <c r="H2" s="19">
        <v>-19187000000</v>
      </c>
      <c r="I2" s="19">
        <f>H2*O2</f>
        <v>-22187846800</v>
      </c>
      <c r="J2" s="19">
        <v>1020677000000</v>
      </c>
      <c r="K2" s="19">
        <f>J2*O2</f>
        <v>1180310882800</v>
      </c>
      <c r="L2" s="19">
        <v>21906.12</v>
      </c>
      <c r="M2" s="19">
        <f>L2*O2</f>
        <v>25332.237168</v>
      </c>
      <c r="N2" s="20">
        <v>46593000</v>
      </c>
      <c r="O2" s="8">
        <v>1.1564000000000001</v>
      </c>
    </row>
    <row r="3" spans="1:15" x14ac:dyDescent="0.25">
      <c r="A3" s="8">
        <v>2014</v>
      </c>
      <c r="B3" s="19">
        <v>405016000000</v>
      </c>
      <c r="C3" s="19">
        <f>B3*O3</f>
        <v>473706713600</v>
      </c>
      <c r="D3" s="19">
        <v>468113000000</v>
      </c>
      <c r="E3" s="19">
        <f>D3*O3</f>
        <v>547504964800</v>
      </c>
      <c r="F3" s="19">
        <v>1084846000000</v>
      </c>
      <c r="G3" s="19">
        <f>F3*O3</f>
        <v>1268835881600</v>
      </c>
      <c r="H3" s="19">
        <v>-13331000000</v>
      </c>
      <c r="I3" s="19">
        <f>H3*O3</f>
        <v>-15591937600</v>
      </c>
      <c r="J3" s="19">
        <v>1032608000000</v>
      </c>
      <c r="K3" s="19">
        <f>J3*O3</f>
        <v>1207738316800</v>
      </c>
      <c r="L3" s="19">
        <v>22228.076000000001</v>
      </c>
      <c r="M3" s="19">
        <f>L3*O3</f>
        <v>25997.9576896</v>
      </c>
      <c r="N3" s="20">
        <v>46455000</v>
      </c>
      <c r="O3" s="8">
        <v>1.1696</v>
      </c>
    </row>
    <row r="4" spans="1:15" x14ac:dyDescent="0.25">
      <c r="A4" s="8">
        <v>2015</v>
      </c>
      <c r="B4" s="19">
        <v>417646000000</v>
      </c>
      <c r="C4" s="19">
        <f>B4*O4</f>
        <v>489105230600</v>
      </c>
      <c r="D4" s="19">
        <v>474881000000</v>
      </c>
      <c r="E4" s="19">
        <f>D4*O4</f>
        <v>556133139100</v>
      </c>
      <c r="F4" s="19">
        <v>1113661000000</v>
      </c>
      <c r="G4" s="19">
        <f>F4*O4</f>
        <v>1304208397100</v>
      </c>
      <c r="H4" s="19">
        <v>-24147000000</v>
      </c>
      <c r="I4" s="19">
        <f>H4*O4</f>
        <v>-28278551700</v>
      </c>
      <c r="J4" s="19">
        <v>1078092000000</v>
      </c>
      <c r="K4" s="19">
        <f>J4*O4</f>
        <v>1262553541200</v>
      </c>
      <c r="L4" s="19">
        <v>23229.66</v>
      </c>
      <c r="M4" s="19">
        <f>L4*O4</f>
        <v>27204.254826</v>
      </c>
      <c r="N4" s="20">
        <v>46410000</v>
      </c>
      <c r="O4" s="8">
        <v>1.1711</v>
      </c>
    </row>
    <row r="5" spans="1:15" x14ac:dyDescent="0.25">
      <c r="A5" s="8">
        <v>2016</v>
      </c>
      <c r="B5" s="19">
        <v>425315000000</v>
      </c>
      <c r="C5" s="19">
        <f>B5*O5</f>
        <v>491196293500</v>
      </c>
      <c r="D5" s="19">
        <v>473208000000</v>
      </c>
      <c r="E5" s="19">
        <f>D5*O5</f>
        <v>546507919200</v>
      </c>
      <c r="F5" s="19">
        <v>1145050000000</v>
      </c>
      <c r="G5" s="19">
        <f>F5*O5</f>
        <v>1322418245000</v>
      </c>
      <c r="H5" s="19">
        <v>-28583000000</v>
      </c>
      <c r="I5" s="19">
        <f>H5*O5</f>
        <v>-33010506700</v>
      </c>
      <c r="J5" s="19">
        <v>1114420000000</v>
      </c>
      <c r="K5" s="19">
        <f>J5*O5</f>
        <v>1287043658000</v>
      </c>
      <c r="L5" s="19">
        <v>23991.883999999998</v>
      </c>
      <c r="M5" s="19">
        <f>L5*O5</f>
        <v>27708.226831599997</v>
      </c>
      <c r="N5" s="20">
        <v>46450000</v>
      </c>
      <c r="O5" s="8">
        <v>1.1549</v>
      </c>
    </row>
    <row r="6" spans="1:15" x14ac:dyDescent="0.25">
      <c r="A6" s="8">
        <v>2017</v>
      </c>
      <c r="B6" s="19">
        <v>444037000000</v>
      </c>
      <c r="C6" s="19">
        <f>B6*O6</f>
        <v>506601813300</v>
      </c>
      <c r="D6" s="19">
        <v>480265000000</v>
      </c>
      <c r="E6" s="19">
        <f>D6*O6</f>
        <v>547934338500</v>
      </c>
      <c r="F6" s="19">
        <v>1183412000000</v>
      </c>
      <c r="G6" s="19">
        <f>F6*O6</f>
        <v>1350154750800</v>
      </c>
      <c r="H6" s="19">
        <v>-28020000000</v>
      </c>
      <c r="I6" s="19">
        <f>H6*O6</f>
        <v>-31968018000</v>
      </c>
      <c r="J6" s="19">
        <v>1162492000000</v>
      </c>
      <c r="K6" s="19">
        <f>J6*O6</f>
        <v>1326287122800</v>
      </c>
      <c r="L6" s="19">
        <v>24982.169000000002</v>
      </c>
      <c r="M6" s="19">
        <f>L6*O6</f>
        <v>28502.156612100003</v>
      </c>
      <c r="N6" s="20">
        <v>46533000</v>
      </c>
      <c r="O6" s="8">
        <v>1.1409</v>
      </c>
    </row>
    <row r="7" spans="1:15" x14ac:dyDescent="0.25">
      <c r="A7" s="8">
        <v>2018</v>
      </c>
      <c r="B7" s="19">
        <v>472140000000</v>
      </c>
      <c r="C7" s="19">
        <f>B7*O7</f>
        <v>532148994000</v>
      </c>
      <c r="D7" s="19">
        <v>503364000000</v>
      </c>
      <c r="E7" s="19">
        <f>D7*O7</f>
        <v>567341564400</v>
      </c>
      <c r="F7" s="19">
        <v>1208861000000</v>
      </c>
      <c r="G7" s="19">
        <f>F7*O7</f>
        <v>1362507233100</v>
      </c>
      <c r="H7" s="19">
        <v>-26354000000</v>
      </c>
      <c r="I7" s="19">
        <f>H7*O7</f>
        <v>-29703593400</v>
      </c>
      <c r="J7" s="19">
        <v>1203859000000</v>
      </c>
      <c r="K7" s="19">
        <f>J7*O7</f>
        <v>1356869478900</v>
      </c>
      <c r="L7" s="19">
        <v>25762.67</v>
      </c>
      <c r="M7" s="19">
        <f>L7*O7</f>
        <v>29037.105356999997</v>
      </c>
      <c r="N7" s="20">
        <v>46729000</v>
      </c>
      <c r="O7" s="8">
        <v>1.1271</v>
      </c>
    </row>
    <row r="8" spans="1:15" x14ac:dyDescent="0.25">
      <c r="A8" s="8">
        <v>2019</v>
      </c>
      <c r="B8" s="19">
        <v>488536000000</v>
      </c>
      <c r="C8" s="19">
        <f>B8*O8</f>
        <v>546036687199.99994</v>
      </c>
      <c r="D8" s="19">
        <v>526652000000</v>
      </c>
      <c r="E8" s="19">
        <f>D8*O8</f>
        <v>588638940400</v>
      </c>
      <c r="F8" s="19">
        <v>1223355000000</v>
      </c>
      <c r="G8" s="19">
        <f>F8*O8</f>
        <v>1367343883500</v>
      </c>
      <c r="H8" s="19">
        <v>-37832000000</v>
      </c>
      <c r="I8" s="19">
        <f>H8*O8</f>
        <v>-42284826400</v>
      </c>
      <c r="J8" s="19">
        <v>1245513000000</v>
      </c>
      <c r="K8" s="19">
        <f>J8*O8</f>
        <v>1392109880100</v>
      </c>
      <c r="L8" s="19">
        <v>26441.005000000001</v>
      </c>
      <c r="M8" s="19">
        <f>L8*O8</f>
        <v>29553.1112885</v>
      </c>
      <c r="N8" s="20">
        <v>47105000</v>
      </c>
      <c r="O8" s="8">
        <v>1.1176999999999999</v>
      </c>
    </row>
    <row r="9" spans="1:15" x14ac:dyDescent="0.25">
      <c r="A9" s="8">
        <v>2020</v>
      </c>
      <c r="B9" s="19">
        <v>467572000000</v>
      </c>
      <c r="C9" s="19">
        <f>B9*O9</f>
        <v>525597685200.00006</v>
      </c>
      <c r="D9" s="19">
        <v>580771000000</v>
      </c>
      <c r="E9" s="19">
        <f>D9*O9</f>
        <v>652844681100</v>
      </c>
      <c r="F9" s="19">
        <v>1345786000000</v>
      </c>
      <c r="G9" s="19">
        <f>F9*O9</f>
        <v>1512798042600.0002</v>
      </c>
      <c r="H9" s="19">
        <v>-54937000000</v>
      </c>
      <c r="I9" s="19">
        <f>H9*O9</f>
        <v>-61754681700.000008</v>
      </c>
      <c r="J9" s="19">
        <v>1119010000000</v>
      </c>
      <c r="K9" s="19">
        <f>J9*O9</f>
        <v>1257879141000</v>
      </c>
      <c r="L9" s="19">
        <v>23629.898000000001</v>
      </c>
      <c r="M9" s="19">
        <f>L9*O9</f>
        <v>26562.368341800004</v>
      </c>
      <c r="N9" s="20">
        <v>47356000</v>
      </c>
      <c r="O9" s="8">
        <v>1.1241000000000001</v>
      </c>
    </row>
    <row r="10" spans="1:15" x14ac:dyDescent="0.25">
      <c r="A10" s="8">
        <v>2021</v>
      </c>
      <c r="B10" s="19">
        <v>529208000000</v>
      </c>
      <c r="C10" s="19">
        <f>B10*O10</f>
        <v>558208598400</v>
      </c>
      <c r="D10" s="19">
        <v>611470000000</v>
      </c>
      <c r="E10" s="19">
        <f>D10*O10</f>
        <v>644978556000</v>
      </c>
      <c r="F10" s="19">
        <v>1428133000000</v>
      </c>
      <c r="G10" s="19">
        <f>F10*O10</f>
        <v>1506394688400</v>
      </c>
      <c r="H10" s="19">
        <v>-50497000000</v>
      </c>
      <c r="I10" s="19">
        <f>H10*O10</f>
        <v>-53264235600</v>
      </c>
      <c r="J10" s="19">
        <v>1222290000000</v>
      </c>
      <c r="K10" s="19">
        <f>J10*O10</f>
        <v>1289271492000</v>
      </c>
      <c r="L10" s="19">
        <v>25824.135999999999</v>
      </c>
      <c r="M10" s="19">
        <f>L10*O10</f>
        <v>27239.298652799996</v>
      </c>
      <c r="N10" s="20">
        <v>47331000</v>
      </c>
      <c r="O10" s="8">
        <v>1.0548</v>
      </c>
    </row>
    <row r="11" spans="1:15" x14ac:dyDescent="0.25">
      <c r="A11" s="8">
        <v>2022</v>
      </c>
      <c r="B11" s="19">
        <v>574095000000</v>
      </c>
      <c r="C11" s="19">
        <f>B11*O11</f>
        <v>574095000000</v>
      </c>
      <c r="D11" s="19">
        <v>637831000000</v>
      </c>
      <c r="E11" s="19">
        <f>D11*O11</f>
        <v>637831000000</v>
      </c>
      <c r="F11" s="19">
        <v>1502804000000</v>
      </c>
      <c r="G11" s="19">
        <f>F11*O11</f>
        <v>1502804000000</v>
      </c>
      <c r="H11" s="19">
        <v>-60282000000</v>
      </c>
      <c r="I11" s="19">
        <f>H11*O11</f>
        <v>-60282000000</v>
      </c>
      <c r="J11" s="19">
        <v>1346377000000</v>
      </c>
      <c r="K11" s="19">
        <f>J11*O11</f>
        <v>1346377000000</v>
      </c>
      <c r="L11" s="19">
        <v>28276.3</v>
      </c>
      <c r="M11" s="19">
        <f>L11*O11</f>
        <v>28276.3</v>
      </c>
      <c r="N11" s="20">
        <v>47615000</v>
      </c>
      <c r="O11" s="21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2C49-B900-4618-9E4E-647EF59C796A}">
  <dimension ref="A1"/>
  <sheetViews>
    <sheetView workbookViewId="0">
      <selection activeCell="Q14" sqref="Q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0184-8862-4C60-AC49-9CE664FBE536}">
  <dimension ref="A1"/>
  <sheetViews>
    <sheetView zoomScale="85" zoomScaleNormal="85" workbookViewId="0">
      <selection activeCell="G25" sqref="G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2A85-9E84-433A-8024-DB263843AF8E}">
  <dimension ref="A1"/>
  <sheetViews>
    <sheetView workbookViewId="0">
      <selection activeCell="L13" sqref="L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63CF-1524-4070-9C39-7673F86D19C2}">
  <dimension ref="A1:S34"/>
  <sheetViews>
    <sheetView showGridLines="0" zoomScaleNormal="100" workbookViewId="0">
      <selection activeCell="I13" sqref="I13"/>
    </sheetView>
  </sheetViews>
  <sheetFormatPr defaultRowHeight="15" x14ac:dyDescent="0.25"/>
  <cols>
    <col min="1" max="1" width="24.85546875" bestFit="1" customWidth="1"/>
    <col min="2" max="2" width="18" bestFit="1" customWidth="1"/>
    <col min="3" max="3" width="15.7109375" bestFit="1" customWidth="1"/>
    <col min="4" max="4" width="12.7109375" bestFit="1" customWidth="1"/>
    <col min="5" max="5" width="12" bestFit="1" customWidth="1"/>
    <col min="6" max="6" width="16" bestFit="1" customWidth="1"/>
    <col min="7" max="7" width="14.7109375" bestFit="1" customWidth="1"/>
    <col min="8" max="8" width="13.7109375" bestFit="1" customWidth="1"/>
    <col min="9" max="9" width="14.5703125" bestFit="1" customWidth="1"/>
    <col min="10" max="10" width="3.28515625" customWidth="1"/>
    <col min="11" max="11" width="24.85546875" bestFit="1" customWidth="1"/>
    <col min="12" max="12" width="19.5703125" bestFit="1" customWidth="1"/>
    <col min="13" max="15" width="12" bestFit="1" customWidth="1"/>
    <col min="17" max="17" width="14.7109375" bestFit="1" customWidth="1"/>
    <col min="18" max="18" width="13.7109375" bestFit="1" customWidth="1"/>
    <col min="19" max="19" width="14.5703125" bestFit="1" customWidth="1"/>
  </cols>
  <sheetData>
    <row r="1" spans="1:14" x14ac:dyDescent="0.25">
      <c r="A1" s="3"/>
      <c r="B1" s="3" t="s">
        <v>0</v>
      </c>
      <c r="C1" s="3"/>
      <c r="K1" s="3"/>
      <c r="L1" s="3" t="s">
        <v>1</v>
      </c>
      <c r="M1" s="3"/>
    </row>
    <row r="2" spans="1:14" ht="48" customHeight="1" x14ac:dyDescent="0.25">
      <c r="A2" s="29" t="s">
        <v>2</v>
      </c>
      <c r="B2" s="29" t="s">
        <v>26</v>
      </c>
      <c r="C2" s="29" t="s">
        <v>3</v>
      </c>
      <c r="K2" s="29" t="s">
        <v>2</v>
      </c>
      <c r="L2" s="29" t="s">
        <v>26</v>
      </c>
      <c r="M2" s="29" t="s">
        <v>3</v>
      </c>
    </row>
    <row r="3" spans="1:14" x14ac:dyDescent="0.25">
      <c r="A3" s="27">
        <v>2013</v>
      </c>
      <c r="B3" s="28">
        <v>365646539.66000003</v>
      </c>
      <c r="C3" s="27">
        <v>4.0999999999999996</v>
      </c>
      <c r="K3" s="32">
        <v>2013</v>
      </c>
      <c r="L3" s="28">
        <v>966523978.99000001</v>
      </c>
      <c r="M3" s="27">
        <v>4.4000000000000004</v>
      </c>
    </row>
    <row r="4" spans="1:14" x14ac:dyDescent="0.25">
      <c r="A4" s="27">
        <v>2015</v>
      </c>
      <c r="B4" s="28">
        <v>406630736.13</v>
      </c>
      <c r="C4" s="27">
        <v>4.4000000000000004</v>
      </c>
      <c r="K4" s="32">
        <v>2015</v>
      </c>
      <c r="L4" s="28">
        <v>1060942548.74</v>
      </c>
      <c r="M4" s="27">
        <v>4.5</v>
      </c>
    </row>
    <row r="5" spans="1:14" x14ac:dyDescent="0.25">
      <c r="A5" s="27">
        <v>2017</v>
      </c>
      <c r="B5" s="28">
        <v>410444804.08999997</v>
      </c>
      <c r="C5" s="27">
        <v>5</v>
      </c>
      <c r="K5" s="32">
        <v>2017</v>
      </c>
      <c r="L5" s="28">
        <v>892821788.69000006</v>
      </c>
      <c r="M5" s="27">
        <v>4.5999999999999996</v>
      </c>
    </row>
    <row r="6" spans="1:14" x14ac:dyDescent="0.25">
      <c r="A6" s="27">
        <v>2019</v>
      </c>
      <c r="B6" s="28">
        <v>402228510.5</v>
      </c>
      <c r="C6" s="27">
        <v>5.4</v>
      </c>
      <c r="K6" s="32">
        <v>2019</v>
      </c>
      <c r="L6" s="28">
        <v>937299647.54999995</v>
      </c>
      <c r="M6" s="27">
        <v>4.7</v>
      </c>
    </row>
    <row r="7" spans="1:14" x14ac:dyDescent="0.25">
      <c r="A7" s="27">
        <v>2021</v>
      </c>
      <c r="B7" s="28">
        <v>427916351.79000002</v>
      </c>
      <c r="C7" s="27">
        <v>4.8</v>
      </c>
      <c r="K7" s="32">
        <v>2021</v>
      </c>
      <c r="L7" s="28">
        <v>718978168.13999999</v>
      </c>
      <c r="M7" s="27">
        <v>4.3</v>
      </c>
    </row>
    <row r="8" spans="1:14" x14ac:dyDescent="0.25">
      <c r="A8" s="27" t="s">
        <v>67</v>
      </c>
      <c r="B8" s="27">
        <f>CORREL(B3:B7,C3:C7)</f>
        <v>0.55181639117088033</v>
      </c>
      <c r="C8" s="31"/>
      <c r="D8" s="30"/>
      <c r="K8" s="27" t="s">
        <v>67</v>
      </c>
      <c r="L8" s="27">
        <f>CORREL(L3:L7,M3:M7)</f>
        <v>0.4559357236869534</v>
      </c>
      <c r="M8" s="31"/>
      <c r="N8" s="30"/>
    </row>
    <row r="9" spans="1:14" x14ac:dyDescent="0.25">
      <c r="C9" s="30"/>
    </row>
    <row r="10" spans="1:14" x14ac:dyDescent="0.25">
      <c r="A10" t="s">
        <v>43</v>
      </c>
      <c r="K10" t="s">
        <v>43</v>
      </c>
    </row>
    <row r="11" spans="1:14" ht="15.75" thickBot="1" x14ac:dyDescent="0.3"/>
    <row r="12" spans="1:14" x14ac:dyDescent="0.25">
      <c r="A12" s="25" t="s">
        <v>44</v>
      </c>
      <c r="B12" s="25"/>
      <c r="K12" s="25" t="s">
        <v>44</v>
      </c>
      <c r="L12" s="25"/>
    </row>
    <row r="13" spans="1:14" x14ac:dyDescent="0.25">
      <c r="A13" s="22" t="s">
        <v>45</v>
      </c>
      <c r="B13" s="22">
        <v>0.28090904111880616</v>
      </c>
      <c r="K13" s="22" t="s">
        <v>45</v>
      </c>
      <c r="L13" s="22">
        <v>0.58881631142934732</v>
      </c>
    </row>
    <row r="14" spans="1:14" x14ac:dyDescent="0.25">
      <c r="A14" s="22" t="s">
        <v>46</v>
      </c>
      <c r="B14" s="22">
        <v>7.8909889382287116E-2</v>
      </c>
      <c r="K14" s="22" t="s">
        <v>46</v>
      </c>
      <c r="L14" s="22">
        <v>0.34670464860526212</v>
      </c>
    </row>
    <row r="15" spans="1:14" x14ac:dyDescent="0.25">
      <c r="A15" s="22" t="s">
        <v>47</v>
      </c>
      <c r="B15" s="22">
        <v>-0.38163516592656932</v>
      </c>
      <c r="K15" s="22" t="s">
        <v>47</v>
      </c>
      <c r="L15" s="22">
        <v>2.0056972907893211E-2</v>
      </c>
    </row>
    <row r="16" spans="1:14" x14ac:dyDescent="0.25">
      <c r="A16" s="22" t="s">
        <v>48</v>
      </c>
      <c r="B16" s="22">
        <v>0.48937044124119861</v>
      </c>
      <c r="K16" s="22" t="s">
        <v>48</v>
      </c>
      <c r="L16" s="22">
        <v>0.16906114758725557</v>
      </c>
    </row>
    <row r="17" spans="1:19" ht="15.75" thickBot="1" x14ac:dyDescent="0.3">
      <c r="A17" s="23" t="s">
        <v>49</v>
      </c>
      <c r="B17" s="23">
        <v>4</v>
      </c>
      <c r="K17" s="23" t="s">
        <v>49</v>
      </c>
      <c r="L17" s="23">
        <v>4</v>
      </c>
    </row>
    <row r="19" spans="1:19" ht="15.75" thickBot="1" x14ac:dyDescent="0.3">
      <c r="A19" t="s">
        <v>50</v>
      </c>
      <c r="K19" t="s">
        <v>50</v>
      </c>
    </row>
    <row r="20" spans="1:19" x14ac:dyDescent="0.25">
      <c r="A20" s="24"/>
      <c r="B20" s="24" t="s">
        <v>55</v>
      </c>
      <c r="C20" s="24" t="s">
        <v>56</v>
      </c>
      <c r="D20" s="24" t="s">
        <v>57</v>
      </c>
      <c r="E20" s="24" t="s">
        <v>58</v>
      </c>
      <c r="F20" s="24" t="s">
        <v>59</v>
      </c>
      <c r="K20" s="24"/>
      <c r="L20" s="24" t="s">
        <v>55</v>
      </c>
      <c r="M20" s="24" t="s">
        <v>56</v>
      </c>
      <c r="N20" s="24" t="s">
        <v>57</v>
      </c>
      <c r="O20" s="24" t="s">
        <v>58</v>
      </c>
      <c r="P20" s="24" t="s">
        <v>59</v>
      </c>
    </row>
    <row r="21" spans="1:19" x14ac:dyDescent="0.25">
      <c r="A21" s="22" t="s">
        <v>51</v>
      </c>
      <c r="B21" s="22">
        <v>1</v>
      </c>
      <c r="C21" s="22">
        <v>4.1033142478789308E-2</v>
      </c>
      <c r="D21" s="22">
        <v>4.1033142478789308E-2</v>
      </c>
      <c r="E21" s="22">
        <v>0.17134021627779195</v>
      </c>
      <c r="F21" s="22">
        <v>0.71909095888119379</v>
      </c>
      <c r="K21" s="22" t="s">
        <v>51</v>
      </c>
      <c r="L21" s="22">
        <v>1</v>
      </c>
      <c r="M21" s="22">
        <v>3.0336656752960461E-2</v>
      </c>
      <c r="N21" s="22">
        <v>3.0336656752960461E-2</v>
      </c>
      <c r="O21" s="22">
        <v>1.0614024663272836</v>
      </c>
      <c r="P21" s="22">
        <v>0.41118368857065268</v>
      </c>
    </row>
    <row r="22" spans="1:19" x14ac:dyDescent="0.25">
      <c r="A22" s="22" t="s">
        <v>52</v>
      </c>
      <c r="B22" s="22">
        <v>2</v>
      </c>
      <c r="C22" s="22">
        <v>0.47896685752121082</v>
      </c>
      <c r="D22" s="22">
        <v>0.23948342876060541</v>
      </c>
      <c r="E22" s="22"/>
      <c r="F22" s="22"/>
      <c r="K22" s="22" t="s">
        <v>52</v>
      </c>
      <c r="L22" s="22">
        <v>2</v>
      </c>
      <c r="M22" s="22">
        <v>5.7163343247039616E-2</v>
      </c>
      <c r="N22" s="22">
        <v>2.8581671623519808E-2</v>
      </c>
      <c r="O22" s="22"/>
      <c r="P22" s="22"/>
    </row>
    <row r="23" spans="1:19" ht="15.75" thickBot="1" x14ac:dyDescent="0.3">
      <c r="A23" s="23" t="s">
        <v>53</v>
      </c>
      <c r="B23" s="23">
        <v>3</v>
      </c>
      <c r="C23" s="23">
        <v>0.52000000000000013</v>
      </c>
      <c r="D23" s="23"/>
      <c r="E23" s="23"/>
      <c r="F23" s="23"/>
      <c r="K23" s="23" t="s">
        <v>53</v>
      </c>
      <c r="L23" s="23">
        <v>3</v>
      </c>
      <c r="M23" s="23">
        <v>8.7500000000000078E-2</v>
      </c>
      <c r="N23" s="23"/>
      <c r="O23" s="23"/>
      <c r="P23" s="23"/>
    </row>
    <row r="24" spans="1:19" ht="15.75" thickBot="1" x14ac:dyDescent="0.3"/>
    <row r="25" spans="1:19" x14ac:dyDescent="0.25">
      <c r="A25" s="24"/>
      <c r="B25" s="24" t="s">
        <v>60</v>
      </c>
      <c r="C25" s="24" t="s">
        <v>48</v>
      </c>
      <c r="D25" s="24" t="s">
        <v>61</v>
      </c>
      <c r="E25" s="24" t="s">
        <v>62</v>
      </c>
      <c r="F25" s="24" t="s">
        <v>63</v>
      </c>
      <c r="G25" s="24" t="s">
        <v>64</v>
      </c>
      <c r="H25" s="24" t="s">
        <v>65</v>
      </c>
      <c r="I25" s="24" t="s">
        <v>66</v>
      </c>
      <c r="K25" s="24"/>
      <c r="L25" s="24" t="s">
        <v>60</v>
      </c>
      <c r="M25" s="24" t="s">
        <v>48</v>
      </c>
      <c r="N25" s="24" t="s">
        <v>61</v>
      </c>
      <c r="O25" s="24" t="s">
        <v>62</v>
      </c>
      <c r="P25" s="24" t="s">
        <v>63</v>
      </c>
      <c r="Q25" s="24" t="s">
        <v>64</v>
      </c>
      <c r="R25" s="24" t="s">
        <v>65</v>
      </c>
      <c r="S25" s="24" t="s">
        <v>66</v>
      </c>
    </row>
    <row r="26" spans="1:19" x14ac:dyDescent="0.25">
      <c r="A26" s="22" t="s">
        <v>54</v>
      </c>
      <c r="B26" s="22">
        <v>9.1797649864808584</v>
      </c>
      <c r="C26" s="22">
        <v>10.342174174823153</v>
      </c>
      <c r="D26" s="22">
        <v>0.88760494953062696</v>
      </c>
      <c r="E26" s="22">
        <v>0.46839923843610021</v>
      </c>
      <c r="F26" s="22">
        <v>-35.319018958366385</v>
      </c>
      <c r="G26" s="22">
        <v>53.678548931328109</v>
      </c>
      <c r="H26" s="22">
        <v>-35.319018958366385</v>
      </c>
      <c r="I26" s="22">
        <v>53.678548931328109</v>
      </c>
      <c r="K26" s="22" t="s">
        <v>54</v>
      </c>
      <c r="L26" s="22">
        <v>3.8837332827773863</v>
      </c>
      <c r="M26" s="22">
        <v>0.62815526787140952</v>
      </c>
      <c r="N26" s="22">
        <v>6.1827600299173646</v>
      </c>
      <c r="O26" s="22">
        <v>2.5176140262735135E-2</v>
      </c>
      <c r="P26" s="22">
        <v>1.1809993047639606</v>
      </c>
      <c r="Q26" s="22">
        <v>6.5864672607908119</v>
      </c>
      <c r="R26" s="22">
        <v>1.1809993047639606</v>
      </c>
      <c r="S26" s="22">
        <v>6.5864672607908119</v>
      </c>
    </row>
    <row r="27" spans="1:19" ht="15.75" thickBot="1" x14ac:dyDescent="0.3">
      <c r="A27" s="23">
        <v>365646539.66000003</v>
      </c>
      <c r="B27" s="23">
        <v>-1.0392695427908594E-8</v>
      </c>
      <c r="C27" s="23">
        <v>2.5107215168975288E-8</v>
      </c>
      <c r="D27" s="23">
        <v>-0.41393262287211902</v>
      </c>
      <c r="E27" s="23">
        <v>0.71909095888119379</v>
      </c>
      <c r="F27" s="23">
        <v>-1.1842032331110725E-7</v>
      </c>
      <c r="G27" s="23">
        <v>9.7634932455290074E-8</v>
      </c>
      <c r="H27" s="23">
        <v>-1.1842032331110725E-7</v>
      </c>
      <c r="I27" s="23">
        <v>9.7634932455290074E-8</v>
      </c>
      <c r="K27" s="23">
        <v>966523978.99000001</v>
      </c>
      <c r="L27" s="23">
        <v>7.1053654225992402E-10</v>
      </c>
      <c r="M27" s="23">
        <v>6.8967799891926839E-10</v>
      </c>
      <c r="N27" s="23">
        <v>1.0302438868186909</v>
      </c>
      <c r="O27" s="23">
        <v>0.41118368857065268</v>
      </c>
      <c r="P27" s="23">
        <v>-2.2569083824382142E-9</v>
      </c>
      <c r="Q27" s="23">
        <v>3.6779814669580618E-9</v>
      </c>
      <c r="R27" s="23">
        <v>-2.2569083824382142E-9</v>
      </c>
      <c r="S27" s="23">
        <v>3.6779814669580618E-9</v>
      </c>
    </row>
    <row r="29" spans="1:19" ht="15" customHeight="1" x14ac:dyDescent="0.25">
      <c r="A29" s="18" t="s">
        <v>78</v>
      </c>
      <c r="B29" s="18"/>
      <c r="C29" s="18"/>
      <c r="E29" s="26" t="s">
        <v>79</v>
      </c>
      <c r="F29" s="26"/>
      <c r="G29" s="26"/>
      <c r="H29" s="26"/>
      <c r="I29" s="26"/>
    </row>
    <row r="30" spans="1:19" x14ac:dyDescent="0.25">
      <c r="A30" s="33" t="s">
        <v>68</v>
      </c>
      <c r="B30" s="33" t="s">
        <v>69</v>
      </c>
      <c r="C30" s="33" t="s">
        <v>70</v>
      </c>
      <c r="E30" s="26"/>
      <c r="F30" s="26"/>
      <c r="G30" s="26"/>
      <c r="H30" s="26"/>
      <c r="I30" s="26"/>
    </row>
    <row r="31" spans="1:19" x14ac:dyDescent="0.25">
      <c r="A31" s="27" t="s">
        <v>71</v>
      </c>
      <c r="B31" s="27">
        <v>7.9000000000000001E-2</v>
      </c>
      <c r="C31" s="27">
        <v>0.34699999999999998</v>
      </c>
      <c r="E31" s="26"/>
      <c r="F31" s="26"/>
      <c r="G31" s="26"/>
      <c r="H31" s="26"/>
      <c r="I31" s="26"/>
    </row>
    <row r="32" spans="1:19" x14ac:dyDescent="0.25">
      <c r="A32" s="27" t="s">
        <v>72</v>
      </c>
      <c r="B32" s="27">
        <v>0.71899999999999997</v>
      </c>
      <c r="C32" s="27">
        <v>0.41099999999999998</v>
      </c>
      <c r="E32" s="26"/>
      <c r="F32" s="26"/>
      <c r="G32" s="26"/>
      <c r="H32" s="26"/>
      <c r="I32" s="26"/>
    </row>
    <row r="33" spans="1:9" x14ac:dyDescent="0.25">
      <c r="A33" s="27" t="s">
        <v>73</v>
      </c>
      <c r="B33" s="27" t="s">
        <v>74</v>
      </c>
      <c r="C33" s="27" t="s">
        <v>75</v>
      </c>
      <c r="E33" s="26"/>
      <c r="F33" s="26"/>
      <c r="G33" s="26"/>
      <c r="H33" s="26"/>
      <c r="I33" s="26"/>
    </row>
    <row r="34" spans="1:9" x14ac:dyDescent="0.25">
      <c r="A34" s="27" t="s">
        <v>76</v>
      </c>
      <c r="B34" s="27" t="s">
        <v>77</v>
      </c>
      <c r="C34" s="27" t="s">
        <v>77</v>
      </c>
      <c r="E34" s="26"/>
      <c r="F34" s="26"/>
      <c r="G34" s="26"/>
      <c r="H34" s="26"/>
      <c r="I34" s="26"/>
    </row>
  </sheetData>
  <mergeCells count="2">
    <mergeCell ref="A29:C29"/>
    <mergeCell ref="E29:I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14F9-E8A5-4FEC-BBFA-697125B0E8A9}">
  <dimension ref="A1:S32"/>
  <sheetViews>
    <sheetView workbookViewId="0">
      <selection activeCell="K5" sqref="K5"/>
    </sheetView>
  </sheetViews>
  <sheetFormatPr defaultRowHeight="15" x14ac:dyDescent="0.25"/>
  <cols>
    <col min="1" max="1" width="24.85546875" bestFit="1" customWidth="1"/>
    <col min="2" max="2" width="17.5703125" bestFit="1" customWidth="1"/>
    <col min="3" max="3" width="16.42578125" bestFit="1" customWidth="1"/>
    <col min="4" max="4" width="12.7109375" bestFit="1" customWidth="1"/>
    <col min="5" max="5" width="12" bestFit="1" customWidth="1"/>
    <col min="6" max="6" width="16" bestFit="1" customWidth="1"/>
    <col min="7" max="7" width="14.7109375" bestFit="1" customWidth="1"/>
    <col min="8" max="8" width="13.7109375" bestFit="1" customWidth="1"/>
    <col min="9" max="9" width="14.5703125" bestFit="1" customWidth="1"/>
    <col min="11" max="11" width="24.85546875" bestFit="1" customWidth="1"/>
    <col min="12" max="12" width="17.42578125" bestFit="1" customWidth="1"/>
    <col min="13" max="13" width="20" bestFit="1" customWidth="1"/>
    <col min="14" max="14" width="12.7109375" bestFit="1" customWidth="1"/>
    <col min="15" max="15" width="12" bestFit="1" customWidth="1"/>
    <col min="16" max="16" width="16" bestFit="1" customWidth="1"/>
    <col min="17" max="17" width="14.7109375" bestFit="1" customWidth="1"/>
    <col min="18" max="18" width="13.7109375" bestFit="1" customWidth="1"/>
    <col min="19" max="19" width="14.5703125" bestFit="1" customWidth="1"/>
  </cols>
  <sheetData>
    <row r="1" spans="1:15" x14ac:dyDescent="0.25">
      <c r="A1" s="18" t="s">
        <v>85</v>
      </c>
      <c r="B1" s="18"/>
      <c r="C1" s="18"/>
      <c r="D1" s="18"/>
      <c r="K1" s="18" t="s">
        <v>84</v>
      </c>
      <c r="L1" s="18"/>
      <c r="M1" s="18"/>
      <c r="N1" s="18"/>
    </row>
    <row r="2" spans="1:15" ht="60" customHeight="1" x14ac:dyDescent="0.25">
      <c r="A2" s="29" t="s">
        <v>2</v>
      </c>
      <c r="B2" s="29" t="s">
        <v>23</v>
      </c>
      <c r="C2" s="29" t="s">
        <v>30</v>
      </c>
      <c r="D2" s="29" t="s">
        <v>86</v>
      </c>
      <c r="E2" s="29" t="s">
        <v>87</v>
      </c>
      <c r="F2" s="38"/>
      <c r="K2" s="29" t="s">
        <v>2</v>
      </c>
      <c r="L2" s="29" t="s">
        <v>23</v>
      </c>
      <c r="M2" s="29" t="s">
        <v>30</v>
      </c>
      <c r="N2" s="29" t="s">
        <v>86</v>
      </c>
      <c r="O2" s="29" t="s">
        <v>87</v>
      </c>
    </row>
    <row r="3" spans="1:15" x14ac:dyDescent="0.25">
      <c r="A3" s="34">
        <v>2013</v>
      </c>
      <c r="B3" s="35">
        <v>584201463.83000004</v>
      </c>
      <c r="C3" s="35">
        <v>28108604686.84</v>
      </c>
      <c r="D3" s="36">
        <f>B3/C3</f>
        <v>2.0783723359399403E-2</v>
      </c>
      <c r="E3" s="36">
        <f>D3^2</f>
        <v>4.3196315668004442E-4</v>
      </c>
      <c r="K3" s="34">
        <v>2013</v>
      </c>
      <c r="L3" s="37">
        <v>704176487.13999999</v>
      </c>
      <c r="M3" s="37">
        <v>42453565312.660004</v>
      </c>
      <c r="N3" s="36">
        <f>L3/M3</f>
        <v>1.6586981139367553E-2</v>
      </c>
      <c r="O3" s="36">
        <f>N3^2</f>
        <v>2.7512794331773492E-4</v>
      </c>
    </row>
    <row r="4" spans="1:15" x14ac:dyDescent="0.25">
      <c r="A4" s="34">
        <v>2014</v>
      </c>
      <c r="B4" s="35">
        <v>635369485.88</v>
      </c>
      <c r="C4" s="35">
        <v>29458887479.580002</v>
      </c>
      <c r="D4" s="36">
        <f t="shared" ref="D4:D12" si="0">B4/C4</f>
        <v>2.1568006813577692E-2</v>
      </c>
      <c r="E4" s="36">
        <f t="shared" ref="E4:E12" si="1">D4^2</f>
        <v>4.6517891791053373E-4</v>
      </c>
      <c r="K4" s="34">
        <v>2014</v>
      </c>
      <c r="L4" s="37">
        <v>730078531.09000003</v>
      </c>
      <c r="M4" s="37">
        <v>46547278448.32</v>
      </c>
      <c r="N4" s="36">
        <f t="shared" ref="N4:N12" si="2">L4/M4</f>
        <v>1.5684666331256803E-2</v>
      </c>
      <c r="O4" s="36">
        <f t="shared" ref="O4:O12" si="3">N4^2</f>
        <v>2.4600875792286074E-4</v>
      </c>
    </row>
    <row r="5" spans="1:15" x14ac:dyDescent="0.25">
      <c r="A5" s="34">
        <v>2015</v>
      </c>
      <c r="B5" s="35">
        <v>621219362.03999996</v>
      </c>
      <c r="C5" s="35">
        <v>31357849451.040001</v>
      </c>
      <c r="D5" s="36">
        <f t="shared" si="0"/>
        <v>1.981064942000979E-2</v>
      </c>
      <c r="E5" s="36">
        <f t="shared" si="1"/>
        <v>3.9246183044253427E-4</v>
      </c>
      <c r="K5" s="34">
        <v>2015</v>
      </c>
      <c r="L5" s="37">
        <v>753418620.88</v>
      </c>
      <c r="M5" s="37">
        <v>53492035059.870003</v>
      </c>
      <c r="N5" s="36">
        <f t="shared" si="2"/>
        <v>1.4084687936002991E-2</v>
      </c>
      <c r="O5" s="36">
        <f t="shared" si="3"/>
        <v>1.9837843425458818E-4</v>
      </c>
    </row>
    <row r="6" spans="1:15" x14ac:dyDescent="0.25">
      <c r="A6" s="34">
        <v>2016</v>
      </c>
      <c r="B6" s="35">
        <v>576450222.38999999</v>
      </c>
      <c r="C6" s="35">
        <v>29176029944.16</v>
      </c>
      <c r="D6" s="36">
        <f t="shared" si="0"/>
        <v>1.9757664887692671E-2</v>
      </c>
      <c r="E6" s="36">
        <f t="shared" si="1"/>
        <v>3.9036532181436383E-4</v>
      </c>
      <c r="K6" s="34">
        <v>2016</v>
      </c>
      <c r="L6" s="37">
        <v>641911823.05999994</v>
      </c>
      <c r="M6" s="37">
        <v>56885531878.510002</v>
      </c>
      <c r="N6" s="36">
        <f>L6/M6</f>
        <v>1.1284272149040044E-2</v>
      </c>
      <c r="O6" s="36">
        <f t="shared" si="3"/>
        <v>1.2733479793360081E-4</v>
      </c>
    </row>
    <row r="7" spans="1:15" x14ac:dyDescent="0.25">
      <c r="A7" s="34">
        <v>2017</v>
      </c>
      <c r="B7" s="35">
        <v>617157160.70000005</v>
      </c>
      <c r="C7" s="35">
        <v>28141319840.689999</v>
      </c>
      <c r="D7" s="36">
        <f t="shared" si="0"/>
        <v>2.1930640218503269E-2</v>
      </c>
      <c r="E7" s="36">
        <f t="shared" si="1"/>
        <v>4.8095298039343309E-4</v>
      </c>
      <c r="K7" s="34">
        <v>2017</v>
      </c>
      <c r="L7" s="37">
        <v>619991360.5</v>
      </c>
      <c r="M7" s="37">
        <v>52702174113.550003</v>
      </c>
      <c r="N7" s="36">
        <f t="shared" si="2"/>
        <v>1.1764056624385007E-2</v>
      </c>
      <c r="O7" s="36">
        <f t="shared" si="3"/>
        <v>1.3839302826173678E-4</v>
      </c>
    </row>
    <row r="8" spans="1:15" x14ac:dyDescent="0.25">
      <c r="A8" s="34">
        <v>2018</v>
      </c>
      <c r="B8" s="35">
        <v>689345152.20000005</v>
      </c>
      <c r="C8" s="35">
        <v>28030747541.369999</v>
      </c>
      <c r="D8" s="36">
        <f t="shared" si="0"/>
        <v>2.4592464085469352E-2</v>
      </c>
      <c r="E8" s="36">
        <f t="shared" si="1"/>
        <v>6.0478928979509992E-4</v>
      </c>
      <c r="K8" s="34">
        <v>2018</v>
      </c>
      <c r="L8" s="37">
        <v>688250445.46000004</v>
      </c>
      <c r="M8" s="37">
        <v>52040612299.75</v>
      </c>
      <c r="N8" s="36">
        <f t="shared" si="2"/>
        <v>1.3225256488062234E-2</v>
      </c>
      <c r="O8" s="36">
        <f t="shared" si="3"/>
        <v>1.7490740917503223E-4</v>
      </c>
    </row>
    <row r="9" spans="1:15" x14ac:dyDescent="0.25">
      <c r="A9" s="34">
        <v>2019</v>
      </c>
      <c r="B9" s="35">
        <v>702795554.5</v>
      </c>
      <c r="C9" s="35">
        <v>28188629421.939999</v>
      </c>
      <c r="D9" s="36">
        <f t="shared" si="0"/>
        <v>2.4931881007062888E-2</v>
      </c>
      <c r="E9" s="36">
        <f t="shared" si="1"/>
        <v>6.2159869055034315E-4</v>
      </c>
      <c r="K9" s="34">
        <v>2019</v>
      </c>
      <c r="L9" s="37">
        <v>689054877.10000002</v>
      </c>
      <c r="M9" s="37">
        <v>54736266182.260002</v>
      </c>
      <c r="N9" s="36">
        <f t="shared" si="2"/>
        <v>1.258863501587038E-2</v>
      </c>
      <c r="O9" s="36">
        <f t="shared" si="3"/>
        <v>1.5847373156279785E-4</v>
      </c>
    </row>
    <row r="10" spans="1:15" x14ac:dyDescent="0.25">
      <c r="A10" s="34">
        <v>2020</v>
      </c>
      <c r="B10" s="35">
        <v>748407400.25999999</v>
      </c>
      <c r="C10" s="35">
        <v>26514863121.599998</v>
      </c>
      <c r="D10" s="36">
        <f t="shared" si="0"/>
        <v>2.8225957525321688E-2</v>
      </c>
      <c r="E10" s="36">
        <f t="shared" si="1"/>
        <v>7.9670467822126406E-4</v>
      </c>
      <c r="K10" s="34">
        <v>2020</v>
      </c>
      <c r="L10" s="37">
        <v>624091303.71000004</v>
      </c>
      <c r="M10" s="37">
        <v>54582411219.949997</v>
      </c>
      <c r="N10" s="36">
        <f t="shared" si="2"/>
        <v>1.143392696953434E-2</v>
      </c>
      <c r="O10" s="36">
        <f t="shared" si="3"/>
        <v>1.3073468594464475E-4</v>
      </c>
    </row>
    <row r="11" spans="1:15" x14ac:dyDescent="0.25">
      <c r="A11" s="34">
        <v>2021</v>
      </c>
      <c r="B11" s="35">
        <v>830489007.19000006</v>
      </c>
      <c r="C11" s="35">
        <v>30413974943.939999</v>
      </c>
      <c r="D11" s="36">
        <f t="shared" si="0"/>
        <v>2.7306164640458333E-2</v>
      </c>
      <c r="E11" s="36">
        <f t="shared" si="1"/>
        <v>7.4562662737181692E-4</v>
      </c>
      <c r="K11" s="34">
        <v>2021</v>
      </c>
      <c r="L11" s="37">
        <v>821852003.79999995</v>
      </c>
      <c r="M11" s="37">
        <v>58798400253.93</v>
      </c>
      <c r="N11" s="36">
        <f t="shared" si="2"/>
        <v>1.3977455173111934E-2</v>
      </c>
      <c r="O11" s="36">
        <f t="shared" si="3"/>
        <v>1.9536925311635357E-4</v>
      </c>
    </row>
    <row r="12" spans="1:15" x14ac:dyDescent="0.25">
      <c r="A12" s="34">
        <v>2022</v>
      </c>
      <c r="B12" s="35">
        <v>945034303.04999995</v>
      </c>
      <c r="C12" s="35">
        <v>29540502328.110001</v>
      </c>
      <c r="D12" s="36">
        <f t="shared" si="0"/>
        <v>3.1991138557949605E-2</v>
      </c>
      <c r="E12" s="36">
        <f t="shared" si="1"/>
        <v>1.0234329462339299E-3</v>
      </c>
      <c r="K12" s="34">
        <v>2022</v>
      </c>
      <c r="L12" s="37">
        <v>773807414.88999999</v>
      </c>
      <c r="M12" s="37">
        <v>66216984047.389999</v>
      </c>
      <c r="N12" s="36">
        <f t="shared" si="2"/>
        <v>1.1685935655665071E-2</v>
      </c>
      <c r="O12" s="36">
        <f t="shared" si="3"/>
        <v>1.3656109214834424E-4</v>
      </c>
    </row>
    <row r="14" spans="1:15" x14ac:dyDescent="0.25">
      <c r="A14" t="s">
        <v>43</v>
      </c>
      <c r="K14" t="s">
        <v>43</v>
      </c>
    </row>
    <row r="15" spans="1:15" ht="15.75" thickBot="1" x14ac:dyDescent="0.3"/>
    <row r="16" spans="1:15" x14ac:dyDescent="0.25">
      <c r="A16" s="25" t="s">
        <v>44</v>
      </c>
      <c r="B16" s="25"/>
      <c r="K16" s="25" t="s">
        <v>44</v>
      </c>
      <c r="L16" s="25"/>
    </row>
    <row r="17" spans="1:19" x14ac:dyDescent="0.25">
      <c r="A17" s="22" t="s">
        <v>45</v>
      </c>
      <c r="B17" s="22">
        <v>0.96516356808091175</v>
      </c>
      <c r="K17" s="22" t="s">
        <v>45</v>
      </c>
      <c r="L17" s="22">
        <v>0.65295194696138914</v>
      </c>
    </row>
    <row r="18" spans="1:19" x14ac:dyDescent="0.25">
      <c r="A18" s="22" t="s">
        <v>46</v>
      </c>
      <c r="B18" s="22">
        <v>0.93154071315067677</v>
      </c>
      <c r="K18" s="22" t="s">
        <v>46</v>
      </c>
      <c r="L18" s="22">
        <v>0.42634624504066876</v>
      </c>
    </row>
    <row r="19" spans="1:19" x14ac:dyDescent="0.25">
      <c r="A19" s="22" t="s">
        <v>47</v>
      </c>
      <c r="B19" s="22">
        <v>0.90872095086756899</v>
      </c>
      <c r="K19" s="22" t="s">
        <v>47</v>
      </c>
      <c r="L19" s="22">
        <v>0.23512832672089168</v>
      </c>
    </row>
    <row r="20" spans="1:19" x14ac:dyDescent="0.25">
      <c r="A20" s="22" t="s">
        <v>48</v>
      </c>
      <c r="B20" s="22">
        <v>35677029.066951364</v>
      </c>
      <c r="K20" s="22" t="s">
        <v>48</v>
      </c>
      <c r="L20" s="22">
        <v>61569490.329033032</v>
      </c>
    </row>
    <row r="21" spans="1:19" ht="15.75" thickBot="1" x14ac:dyDescent="0.3">
      <c r="A21" s="23" t="s">
        <v>49</v>
      </c>
      <c r="B21" s="23">
        <v>9</v>
      </c>
      <c r="K21" s="23" t="s">
        <v>49</v>
      </c>
      <c r="L21" s="23">
        <v>9</v>
      </c>
    </row>
    <row r="23" spans="1:19" ht="15.75" thickBot="1" x14ac:dyDescent="0.3">
      <c r="A23" t="s">
        <v>50</v>
      </c>
      <c r="K23" t="s">
        <v>50</v>
      </c>
    </row>
    <row r="24" spans="1:19" x14ac:dyDescent="0.25">
      <c r="A24" s="24"/>
      <c r="B24" s="24" t="s">
        <v>55</v>
      </c>
      <c r="C24" s="24" t="s">
        <v>56</v>
      </c>
      <c r="D24" s="24" t="s">
        <v>57</v>
      </c>
      <c r="E24" s="24" t="s">
        <v>58</v>
      </c>
      <c r="F24" s="24"/>
      <c r="K24" s="24"/>
      <c r="L24" s="24" t="s">
        <v>55</v>
      </c>
      <c r="M24" s="24" t="s">
        <v>56</v>
      </c>
      <c r="N24" s="24" t="s">
        <v>57</v>
      </c>
      <c r="O24" s="24" t="s">
        <v>58</v>
      </c>
      <c r="P24" s="24" t="s">
        <v>59</v>
      </c>
    </row>
    <row r="25" spans="1:19" x14ac:dyDescent="0.25">
      <c r="A25" s="22" t="s">
        <v>51</v>
      </c>
      <c r="B25" s="22">
        <v>2</v>
      </c>
      <c r="C25" s="22">
        <v>1.0391974793388107E+17</v>
      </c>
      <c r="D25" s="22">
        <v>5.1959873966940536E+16</v>
      </c>
      <c r="E25" s="22">
        <v>40.821665957504194</v>
      </c>
      <c r="F25" s="22"/>
      <c r="K25" s="22" t="s">
        <v>51</v>
      </c>
      <c r="L25" s="22">
        <v>2</v>
      </c>
      <c r="M25" s="22">
        <v>1.6904213496485008E+16</v>
      </c>
      <c r="N25" s="22">
        <v>8452106748242504</v>
      </c>
      <c r="O25" s="22">
        <v>2.2296354274063503</v>
      </c>
      <c r="P25" s="22">
        <v>0.18877719210848376</v>
      </c>
    </row>
    <row r="26" spans="1:19" x14ac:dyDescent="0.25">
      <c r="A26" s="22" t="s">
        <v>52</v>
      </c>
      <c r="B26" s="22">
        <v>6</v>
      </c>
      <c r="C26" s="22">
        <v>7637102418264557</v>
      </c>
      <c r="D26" s="22">
        <v>1272850403044092.8</v>
      </c>
      <c r="E26" s="22"/>
      <c r="F26" s="22"/>
      <c r="K26" s="22" t="s">
        <v>52</v>
      </c>
      <c r="L26" s="22">
        <v>6</v>
      </c>
      <c r="M26" s="22">
        <v>2.2744812836261352E+16</v>
      </c>
      <c r="N26" s="22">
        <v>3790802139376892</v>
      </c>
      <c r="O26" s="22"/>
      <c r="P26" s="22"/>
    </row>
    <row r="27" spans="1:19" ht="15.75" thickBot="1" x14ac:dyDescent="0.3">
      <c r="A27" s="23" t="s">
        <v>53</v>
      </c>
      <c r="B27" s="23">
        <v>8</v>
      </c>
      <c r="C27" s="23">
        <v>1.1155685035214563E+17</v>
      </c>
      <c r="D27" s="23"/>
      <c r="E27" s="23"/>
      <c r="F27" s="23"/>
      <c r="K27" s="23" t="s">
        <v>53</v>
      </c>
      <c r="L27" s="23">
        <v>8</v>
      </c>
      <c r="M27" s="23">
        <v>3.964902633274636E+16</v>
      </c>
      <c r="N27" s="23"/>
      <c r="O27" s="23"/>
      <c r="P27" s="23"/>
    </row>
    <row r="28" spans="1:19" ht="15.75" thickBot="1" x14ac:dyDescent="0.3"/>
    <row r="29" spans="1:19" x14ac:dyDescent="0.25">
      <c r="A29" s="24"/>
      <c r="B29" s="24" t="s">
        <v>60</v>
      </c>
      <c r="C29" s="24" t="s">
        <v>48</v>
      </c>
      <c r="D29" s="24" t="s">
        <v>61</v>
      </c>
      <c r="E29" s="24" t="s">
        <v>62</v>
      </c>
      <c r="F29" s="24"/>
      <c r="G29" s="24" t="s">
        <v>64</v>
      </c>
      <c r="H29" s="24" t="s">
        <v>65</v>
      </c>
      <c r="I29" s="24" t="s">
        <v>66</v>
      </c>
      <c r="K29" s="24"/>
      <c r="L29" s="24" t="s">
        <v>60</v>
      </c>
      <c r="M29" s="24" t="s">
        <v>48</v>
      </c>
      <c r="N29" s="24" t="s">
        <v>61</v>
      </c>
      <c r="O29" s="24" t="s">
        <v>62</v>
      </c>
      <c r="P29" s="24" t="s">
        <v>63</v>
      </c>
      <c r="Q29" s="24" t="s">
        <v>64</v>
      </c>
      <c r="R29" s="24" t="s">
        <v>65</v>
      </c>
      <c r="S29" s="24" t="s">
        <v>66</v>
      </c>
    </row>
    <row r="30" spans="1:19" x14ac:dyDescent="0.25">
      <c r="A30" s="22" t="s">
        <v>54</v>
      </c>
      <c r="B30" s="22">
        <v>710917223.46644437</v>
      </c>
      <c r="C30" s="22">
        <v>513105528.4450174</v>
      </c>
      <c r="D30" s="22">
        <v>1.3855185416163838</v>
      </c>
      <c r="E30" s="22">
        <v>0.21519995810187778</v>
      </c>
      <c r="F30" s="22"/>
      <c r="G30" s="22">
        <v>1966441221.9065599</v>
      </c>
      <c r="H30" s="22">
        <v>-544606774.97367108</v>
      </c>
      <c r="I30" s="22">
        <v>1966441221.9065599</v>
      </c>
      <c r="K30" s="22" t="s">
        <v>54</v>
      </c>
      <c r="L30" s="22">
        <v>-1587468770.8908067</v>
      </c>
      <c r="M30" s="22">
        <v>1952327805.2023144</v>
      </c>
      <c r="N30" s="22">
        <v>-0.81311589511798288</v>
      </c>
      <c r="O30" s="22">
        <v>0.44720784444155415</v>
      </c>
      <c r="P30" s="22">
        <v>-6364642814.7601967</v>
      </c>
      <c r="Q30" s="22">
        <v>3189705272.9785838</v>
      </c>
      <c r="R30" s="22">
        <v>-6364642814.7601967</v>
      </c>
      <c r="S30" s="22">
        <v>3189705272.9785838</v>
      </c>
    </row>
    <row r="31" spans="1:19" x14ac:dyDescent="0.25">
      <c r="A31" s="22">
        <v>2.0783723359399403E-2</v>
      </c>
      <c r="B31" s="22">
        <v>-26789686521.536877</v>
      </c>
      <c r="C31" s="22">
        <v>41104190217.412636</v>
      </c>
      <c r="D31" s="22">
        <v>-0.65175074316847093</v>
      </c>
      <c r="E31" s="22">
        <v>0.53871051147980009</v>
      </c>
      <c r="F31" s="22"/>
      <c r="G31" s="22">
        <v>73788643653.167221</v>
      </c>
      <c r="H31" s="22">
        <v>-127368016696.24098</v>
      </c>
      <c r="I31" s="22">
        <v>73788643653.167221</v>
      </c>
      <c r="K31" s="22">
        <v>1.6586981139367553E-2</v>
      </c>
      <c r="L31" s="22">
        <v>323078123076.0025</v>
      </c>
      <c r="M31" s="22">
        <v>296135188036.29175</v>
      </c>
      <c r="N31" s="22">
        <v>1.0909818762787786</v>
      </c>
      <c r="O31" s="22">
        <v>0.31714273991400677</v>
      </c>
      <c r="P31" s="22">
        <v>-401538578071.04376</v>
      </c>
      <c r="Q31" s="22">
        <v>1047694824223.0488</v>
      </c>
      <c r="R31" s="22">
        <v>-401538578071.04376</v>
      </c>
      <c r="S31" s="22">
        <v>1047694824223.0488</v>
      </c>
    </row>
    <row r="32" spans="1:19" ht="15.75" thickBot="1" x14ac:dyDescent="0.3">
      <c r="A32" s="23">
        <v>4.3196315668004442E-4</v>
      </c>
      <c r="B32" s="23">
        <v>1062252251333.4954</v>
      </c>
      <c r="C32" s="23">
        <v>806883565682.57385</v>
      </c>
      <c r="D32" s="23">
        <v>1.3164876526328744</v>
      </c>
      <c r="E32" s="23">
        <v>0.23606154619119749</v>
      </c>
      <c r="F32" s="23"/>
      <c r="G32" s="23">
        <v>3036625210696.2959</v>
      </c>
      <c r="H32" s="23">
        <v>-912120708029.30518</v>
      </c>
      <c r="I32" s="23">
        <v>3036625210696.2959</v>
      </c>
      <c r="K32" s="23">
        <v>2.7512794331773492E-4</v>
      </c>
      <c r="L32" s="23">
        <v>-11127492935700.057</v>
      </c>
      <c r="M32" s="23">
        <v>11114764855366.346</v>
      </c>
      <c r="N32" s="23">
        <v>-1.0011451506621452</v>
      </c>
      <c r="O32" s="23">
        <v>0.35540691325533286</v>
      </c>
      <c r="P32" s="23">
        <v>-38324342782985.57</v>
      </c>
      <c r="Q32" s="23">
        <v>16069356911585.459</v>
      </c>
      <c r="R32" s="23">
        <v>-38324342782985.57</v>
      </c>
      <c r="S32" s="23">
        <v>16069356911585.459</v>
      </c>
    </row>
  </sheetData>
  <mergeCells count="2">
    <mergeCell ref="K1:N1"/>
    <mergeCell ref="A1:D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201F-67E2-4761-89FA-133C9AAB549E}">
  <dimension ref="A2:G26"/>
  <sheetViews>
    <sheetView topLeftCell="A9" workbookViewId="0">
      <selection activeCell="A15" sqref="A15:G26"/>
    </sheetView>
  </sheetViews>
  <sheetFormatPr defaultRowHeight="15" x14ac:dyDescent="0.25"/>
  <cols>
    <col min="1" max="1" width="5" bestFit="1" customWidth="1"/>
    <col min="2" max="2" width="18.5703125" bestFit="1" customWidth="1"/>
    <col min="3" max="3" width="18.85546875" bestFit="1" customWidth="1"/>
    <col min="4" max="5" width="18.5703125" bestFit="1" customWidth="1"/>
    <col min="6" max="6" width="10.42578125" bestFit="1" customWidth="1"/>
    <col min="7" max="7" width="7.7109375" bestFit="1" customWidth="1"/>
  </cols>
  <sheetData>
    <row r="2" spans="1:7" x14ac:dyDescent="0.25">
      <c r="A2" s="39" t="s">
        <v>89</v>
      </c>
      <c r="B2" s="39"/>
      <c r="C2" s="39"/>
      <c r="D2" s="39"/>
      <c r="E2" s="39"/>
      <c r="F2" s="39"/>
      <c r="G2" s="39"/>
    </row>
    <row r="3" spans="1:7" ht="51" x14ac:dyDescent="0.25">
      <c r="A3" s="40" t="s">
        <v>2</v>
      </c>
      <c r="B3" s="40" t="s">
        <v>28</v>
      </c>
      <c r="C3" s="40" t="s">
        <v>27</v>
      </c>
      <c r="D3" s="40" t="s">
        <v>6</v>
      </c>
      <c r="E3" s="40" t="s">
        <v>25</v>
      </c>
      <c r="F3" s="40" t="s">
        <v>21</v>
      </c>
      <c r="G3" s="40" t="s">
        <v>88</v>
      </c>
    </row>
    <row r="4" spans="1:7" x14ac:dyDescent="0.25">
      <c r="A4" s="41">
        <v>2013</v>
      </c>
      <c r="B4" s="42">
        <v>477335697.99000001</v>
      </c>
      <c r="C4" s="42">
        <f>B4*F4</f>
        <v>815304408.24140668</v>
      </c>
      <c r="D4" s="42">
        <v>1565417025.1099999</v>
      </c>
      <c r="E4" s="42">
        <f>D4*F4</f>
        <v>2673781589.5241709</v>
      </c>
      <c r="F4" s="43">
        <v>1.7080314999999999</v>
      </c>
      <c r="G4" s="44">
        <f>C4/E4</f>
        <v>0.30492558234216099</v>
      </c>
    </row>
    <row r="5" spans="1:7" x14ac:dyDescent="0.25">
      <c r="A5" s="41">
        <v>2014</v>
      </c>
      <c r="B5" s="42">
        <v>556742142.69000006</v>
      </c>
      <c r="C5" s="42">
        <f t="shared" ref="C5:C13" si="0">B5*F5</f>
        <v>897862117.73380482</v>
      </c>
      <c r="D5" s="42">
        <v>1742310692.21</v>
      </c>
      <c r="E5" s="42">
        <f t="shared" ref="E5:E13" si="1">D5*F5</f>
        <v>2809837172.1951203</v>
      </c>
      <c r="F5" s="43">
        <v>1.6127073000000001</v>
      </c>
      <c r="G5" s="44">
        <f t="shared" ref="G5:G13" si="2">C5/E5</f>
        <v>0.31954240146676216</v>
      </c>
    </row>
    <row r="6" spans="1:7" x14ac:dyDescent="0.25">
      <c r="A6" s="41">
        <v>2015</v>
      </c>
      <c r="B6" s="42">
        <v>524669394.06</v>
      </c>
      <c r="C6" s="42">
        <f t="shared" si="0"/>
        <v>795185680.68709278</v>
      </c>
      <c r="D6" s="42">
        <v>1740515219.6800001</v>
      </c>
      <c r="E6" s="42">
        <f t="shared" si="1"/>
        <v>2637914075.752646</v>
      </c>
      <c r="F6" s="43">
        <v>1.5155938</v>
      </c>
      <c r="G6" s="44">
        <f t="shared" si="2"/>
        <v>0.30144487570551803</v>
      </c>
    </row>
    <row r="7" spans="1:7" x14ac:dyDescent="0.25">
      <c r="A7" s="41">
        <v>2016</v>
      </c>
      <c r="B7" s="42">
        <v>561382779.53999996</v>
      </c>
      <c r="C7" s="42">
        <f t="shared" si="0"/>
        <v>768773297.01990306</v>
      </c>
      <c r="D7" s="42">
        <v>1830767408.3</v>
      </c>
      <c r="E7" s="42">
        <f t="shared" si="1"/>
        <v>2507104150.4134526</v>
      </c>
      <c r="F7" s="43">
        <v>1.3694280000000001</v>
      </c>
      <c r="G7" s="44">
        <f t="shared" si="2"/>
        <v>0.30663795793769588</v>
      </c>
    </row>
    <row r="8" spans="1:7" x14ac:dyDescent="0.25">
      <c r="A8" s="41">
        <v>2017</v>
      </c>
      <c r="B8" s="42">
        <v>611218439.71000004</v>
      </c>
      <c r="C8" s="42">
        <f t="shared" si="0"/>
        <v>787501111.22179663</v>
      </c>
      <c r="D8" s="42">
        <v>1928298676.77</v>
      </c>
      <c r="E8" s="42">
        <f t="shared" si="1"/>
        <v>2484442961.9047217</v>
      </c>
      <c r="F8" s="43">
        <v>1.2884119000000001</v>
      </c>
      <c r="G8" s="44">
        <f t="shared" si="2"/>
        <v>0.31697290833276021</v>
      </c>
    </row>
    <row r="9" spans="1:7" x14ac:dyDescent="0.25">
      <c r="A9" s="41">
        <v>2018</v>
      </c>
      <c r="B9" s="42">
        <v>774301904.96000004</v>
      </c>
      <c r="C9" s="42">
        <f t="shared" si="0"/>
        <v>969058269.0352546</v>
      </c>
      <c r="D9" s="42">
        <v>2344846254.8499999</v>
      </c>
      <c r="E9" s="42">
        <f t="shared" si="1"/>
        <v>2934633943.5857716</v>
      </c>
      <c r="F9" s="43">
        <v>1.2515251000000001</v>
      </c>
      <c r="G9" s="44">
        <f t="shared" si="2"/>
        <v>0.33021435983636899</v>
      </c>
    </row>
    <row r="10" spans="1:7" x14ac:dyDescent="0.25">
      <c r="A10" s="41">
        <v>2019</v>
      </c>
      <c r="B10" s="42">
        <v>728467527.53999996</v>
      </c>
      <c r="C10" s="42">
        <f t="shared" si="0"/>
        <v>878780828.4141531</v>
      </c>
      <c r="D10" s="42">
        <v>2253060038.8099999</v>
      </c>
      <c r="E10" s="42">
        <f t="shared" si="1"/>
        <v>2717960502.7261248</v>
      </c>
      <c r="F10" s="43">
        <v>1.2063417999999999</v>
      </c>
      <c r="G10" s="44">
        <f t="shared" si="2"/>
        <v>0.32332361987333241</v>
      </c>
    </row>
    <row r="11" spans="1:7" x14ac:dyDescent="0.25">
      <c r="A11" s="41">
        <v>2020</v>
      </c>
      <c r="B11" s="42">
        <v>785345027.55999994</v>
      </c>
      <c r="C11" s="42">
        <f t="shared" si="0"/>
        <v>908283487.91576171</v>
      </c>
      <c r="D11" s="42">
        <v>2388515725.4499998</v>
      </c>
      <c r="E11" s="42">
        <f t="shared" si="1"/>
        <v>2762415649.0729508</v>
      </c>
      <c r="F11" s="43">
        <v>1.1565407000000001</v>
      </c>
      <c r="G11" s="44">
        <f t="shared" si="2"/>
        <v>0.32880044254765783</v>
      </c>
    </row>
    <row r="12" spans="1:7" x14ac:dyDescent="0.25">
      <c r="A12" s="41">
        <v>2021</v>
      </c>
      <c r="B12" s="42">
        <v>757830612.74000001</v>
      </c>
      <c r="C12" s="42">
        <f t="shared" si="0"/>
        <v>838580344.28377533</v>
      </c>
      <c r="D12" s="42">
        <v>2373360765.2199998</v>
      </c>
      <c r="E12" s="42">
        <f t="shared" si="1"/>
        <v>2626251373.5250983</v>
      </c>
      <c r="F12" s="43">
        <v>1.1065537999999999</v>
      </c>
      <c r="G12" s="44">
        <f t="shared" si="2"/>
        <v>0.31930696076445525</v>
      </c>
    </row>
    <row r="13" spans="1:7" x14ac:dyDescent="0.25">
      <c r="A13" s="41">
        <v>2022</v>
      </c>
      <c r="B13" s="42">
        <v>862104716.5</v>
      </c>
      <c r="C13" s="42">
        <f t="shared" si="0"/>
        <v>866760081.96910012</v>
      </c>
      <c r="D13" s="42">
        <v>3194837137</v>
      </c>
      <c r="E13" s="42">
        <f t="shared" si="1"/>
        <v>3212089257.5398002</v>
      </c>
      <c r="F13" s="43">
        <v>1.0054000000000001</v>
      </c>
      <c r="G13" s="44">
        <f t="shared" si="2"/>
        <v>0.26984308730977419</v>
      </c>
    </row>
    <row r="15" spans="1:7" x14ac:dyDescent="0.25">
      <c r="A15" s="39" t="s">
        <v>90</v>
      </c>
      <c r="B15" s="39"/>
      <c r="C15" s="39"/>
      <c r="D15" s="39"/>
      <c r="E15" s="39"/>
      <c r="F15" s="39"/>
      <c r="G15" s="39"/>
    </row>
    <row r="16" spans="1:7" ht="51" x14ac:dyDescent="0.25">
      <c r="A16" s="40" t="s">
        <v>2</v>
      </c>
      <c r="B16" s="40" t="s">
        <v>28</v>
      </c>
      <c r="C16" s="40" t="s">
        <v>27</v>
      </c>
      <c r="D16" s="40" t="s">
        <v>6</v>
      </c>
      <c r="E16" s="40" t="s">
        <v>25</v>
      </c>
      <c r="F16" s="40" t="s">
        <v>21</v>
      </c>
      <c r="G16" s="40" t="s">
        <v>88</v>
      </c>
    </row>
    <row r="17" spans="1:7" x14ac:dyDescent="0.25">
      <c r="A17" s="41">
        <v>2013</v>
      </c>
      <c r="B17" s="42">
        <v>434112784.87</v>
      </c>
      <c r="C17" s="42">
        <f>B17*F17</f>
        <v>741478311.11068332</v>
      </c>
      <c r="D17" s="42">
        <v>1725199163.51</v>
      </c>
      <c r="E17" s="42">
        <f>D17*F17</f>
        <v>2946694515.0487304</v>
      </c>
      <c r="F17" s="43">
        <v>1.7080314999999999</v>
      </c>
      <c r="G17" s="44">
        <f>C17/E17</f>
        <v>0.25163053289846071</v>
      </c>
    </row>
    <row r="18" spans="1:7" x14ac:dyDescent="0.25">
      <c r="A18" s="41">
        <v>2014</v>
      </c>
      <c r="B18" s="42">
        <v>532332688.31</v>
      </c>
      <c r="C18" s="42">
        <f t="shared" ref="C18:C26" si="3">B18*F18</f>
        <v>858496812.46616173</v>
      </c>
      <c r="D18" s="42">
        <v>1958937749.53</v>
      </c>
      <c r="E18" s="42">
        <f t="shared" ref="E18:E26" si="4">D18*F18</f>
        <v>3159193208.9126024</v>
      </c>
      <c r="F18" s="43">
        <v>1.6127073000000001</v>
      </c>
      <c r="G18" s="44">
        <f t="shared" ref="G18:G26" si="5">C18/E18</f>
        <v>0.27174558683027089</v>
      </c>
    </row>
    <row r="19" spans="1:7" x14ac:dyDescent="0.25">
      <c r="A19" s="41">
        <v>2015</v>
      </c>
      <c r="B19" s="42">
        <v>583285998.07000005</v>
      </c>
      <c r="C19" s="42">
        <f t="shared" si="3"/>
        <v>884024642.30170405</v>
      </c>
      <c r="D19" s="42">
        <v>2222493042.6900001</v>
      </c>
      <c r="E19" s="42">
        <f t="shared" si="4"/>
        <v>3368396676.0440993</v>
      </c>
      <c r="F19" s="43">
        <v>1.5155938</v>
      </c>
      <c r="G19" s="44">
        <f t="shared" si="5"/>
        <v>0.26244671495754984</v>
      </c>
    </row>
    <row r="20" spans="1:7" x14ac:dyDescent="0.25">
      <c r="A20" s="41">
        <v>2016</v>
      </c>
      <c r="B20" s="42">
        <v>566672558.84000003</v>
      </c>
      <c r="C20" s="42">
        <f t="shared" si="3"/>
        <v>776017268.90714359</v>
      </c>
      <c r="D20" s="42">
        <v>2260668306.3299999</v>
      </c>
      <c r="E20" s="42">
        <f t="shared" si="4"/>
        <v>3095822477.4008794</v>
      </c>
      <c r="F20" s="43">
        <v>1.3694280000000001</v>
      </c>
      <c r="G20" s="44">
        <f t="shared" si="5"/>
        <v>0.25066594566451195</v>
      </c>
    </row>
    <row r="21" spans="1:7" x14ac:dyDescent="0.25">
      <c r="A21" s="41">
        <v>2017</v>
      </c>
      <c r="B21" s="42">
        <v>486474699.87</v>
      </c>
      <c r="C21" s="42">
        <f t="shared" si="3"/>
        <v>626779792.36143649</v>
      </c>
      <c r="D21" s="42">
        <v>2205543493.8099999</v>
      </c>
      <c r="E21" s="42">
        <f t="shared" si="4"/>
        <v>2841648483.3923802</v>
      </c>
      <c r="F21" s="43">
        <v>1.2884119000000001</v>
      </c>
      <c r="G21" s="44">
        <f t="shared" si="5"/>
        <v>0.22056908024499297</v>
      </c>
    </row>
    <row r="22" spans="1:7" x14ac:dyDescent="0.25">
      <c r="A22" s="41">
        <v>2018</v>
      </c>
      <c r="B22" s="42">
        <v>573551650.44000006</v>
      </c>
      <c r="C22" s="42">
        <f t="shared" si="3"/>
        <v>717814286.67208612</v>
      </c>
      <c r="D22" s="42">
        <v>2314970573.23</v>
      </c>
      <c r="E22" s="42">
        <f t="shared" si="4"/>
        <v>2897243778.1587334</v>
      </c>
      <c r="F22" s="43">
        <v>1.2515251000000001</v>
      </c>
      <c r="G22" s="44">
        <f t="shared" si="5"/>
        <v>0.24775764196420985</v>
      </c>
    </row>
    <row r="23" spans="1:7" x14ac:dyDescent="0.25">
      <c r="A23" s="41">
        <v>2019</v>
      </c>
      <c r="B23" s="42">
        <v>647637984.12</v>
      </c>
      <c r="C23" s="42">
        <f t="shared" si="3"/>
        <v>781272771.51169217</v>
      </c>
      <c r="D23" s="42">
        <v>2522948039.8000002</v>
      </c>
      <c r="E23" s="42">
        <f t="shared" si="4"/>
        <v>3043537679.6388035</v>
      </c>
      <c r="F23" s="43">
        <v>1.2063417999999999</v>
      </c>
      <c r="G23" s="44">
        <f t="shared" si="5"/>
        <v>0.25669889902740123</v>
      </c>
    </row>
    <row r="24" spans="1:7" x14ac:dyDescent="0.25">
      <c r="A24" s="41">
        <v>2020</v>
      </c>
      <c r="B24" s="42">
        <v>896484203.96000004</v>
      </c>
      <c r="C24" s="42">
        <f t="shared" si="3"/>
        <v>1036820468.7868413</v>
      </c>
      <c r="D24" s="42">
        <v>2842762554.5999999</v>
      </c>
      <c r="E24" s="42">
        <f t="shared" si="4"/>
        <v>3287770594.8308725</v>
      </c>
      <c r="F24" s="43">
        <v>1.1565407000000001</v>
      </c>
      <c r="G24" s="44">
        <f t="shared" si="5"/>
        <v>0.31535669502518215</v>
      </c>
    </row>
    <row r="25" spans="1:7" x14ac:dyDescent="0.25">
      <c r="A25" s="41">
        <v>2021</v>
      </c>
      <c r="B25" s="42">
        <v>1060772497.73</v>
      </c>
      <c r="C25" s="42">
        <f t="shared" si="3"/>
        <v>1173801838.2986228</v>
      </c>
      <c r="D25" s="42">
        <v>3272948555.8299999</v>
      </c>
      <c r="E25" s="42">
        <f t="shared" si="4"/>
        <v>3621693661.6581984</v>
      </c>
      <c r="F25" s="43">
        <v>1.1065537999999999</v>
      </c>
      <c r="G25" s="44">
        <f t="shared" si="5"/>
        <v>0.32410301586943047</v>
      </c>
    </row>
    <row r="26" spans="1:7" x14ac:dyDescent="0.25">
      <c r="A26" s="41">
        <v>2022</v>
      </c>
      <c r="B26" s="42">
        <v>1511470199.4300001</v>
      </c>
      <c r="C26" s="42">
        <f t="shared" si="3"/>
        <v>1519632138.5069222</v>
      </c>
      <c r="D26" s="42">
        <v>4049725836.1900001</v>
      </c>
      <c r="E26" s="42">
        <f t="shared" si="4"/>
        <v>4071594355.7054262</v>
      </c>
      <c r="F26" s="43">
        <v>1.0054000000000001</v>
      </c>
      <c r="G26" s="44">
        <f t="shared" si="5"/>
        <v>0.37322778394598632</v>
      </c>
    </row>
  </sheetData>
  <mergeCells count="2">
    <mergeCell ref="A2:G2"/>
    <mergeCell ref="A15:G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MACEIÓ</vt:lpstr>
      <vt:lpstr>DUQUE DE CAXIAS</vt:lpstr>
      <vt:lpstr>ESPANHA</vt:lpstr>
      <vt:lpstr>Questão 2</vt:lpstr>
      <vt:lpstr>Questão 3</vt:lpstr>
      <vt:lpstr>Questão 4</vt:lpstr>
      <vt:lpstr>Questão 5</vt:lpstr>
      <vt:lpstr>Questão 6</vt:lpstr>
      <vt:lpstr>Questão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Caua Victor Araújo Pimentel</dc:creator>
  <cp:keywords/>
  <dc:description/>
  <cp:lastModifiedBy>Caua Victor Araújo Pimentel</cp:lastModifiedBy>
  <cp:revision/>
  <dcterms:created xsi:type="dcterms:W3CDTF">2026-05-02T13:27:31Z</dcterms:created>
  <dcterms:modified xsi:type="dcterms:W3CDTF">2026-05-09T05:10:15Z</dcterms:modified>
  <cp:category/>
  <cp:contentStatus/>
</cp:coreProperties>
</file>