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IPCA" sheetId="2" state="visible" r:id="rId2"/>
    <sheet name="Populacao" sheetId="3" state="visible" r:id="rId3"/>
    <sheet name="Manaus" sheetId="4" state="visible" r:id="rId4"/>
    <sheet name="Parintins" sheetId="5" state="visible" r:id="rId5"/>
    <sheet name="Conferenc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5A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4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Planilha de cálculos — P2 FSP — Matrícula 231019943</t>
        </is>
      </c>
    </row>
    <row r="2">
      <c r="A2" t="inlineStr">
        <is>
          <t>Células amarelas = dados de entrada copiados das fontes (Siconfi/DCA, IBGE/Sidra). Demais células = fórmulas.</t>
        </is>
      </c>
    </row>
    <row r="3">
      <c r="A3" t="inlineStr">
        <is>
          <t>Aba IPCA: número-índice mensal (Sidra 1737) -&gt; média anual -&gt; fator para R$ de 2025.</t>
        </is>
      </c>
    </row>
    <row r="4">
      <c r="A4" t="inlineStr">
        <is>
          <t>Aba Populacao: Censos 2010/2022 e estimativas -&gt; população harmonizada (interpolação geométrica).</t>
        </is>
      </c>
    </row>
    <row r="5">
      <c r="A5" t="inlineStr">
        <is>
          <t>Abas Manaus e Parintins: valores nominais (R$) -&gt; receita líquida, transferências líquidas, dependência, autonomia, resultado, valores reais e per capita.</t>
        </is>
      </c>
    </row>
    <row r="6">
      <c r="A6" t="inlineStr">
        <is>
          <t>Os mesmos cálculos são feitos em Python (06_codigos_e_planilhas/02_tratamento.py); a aba Conferencia compara os dois resultados.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45" customHeight="1">
      <c r="A1" s="1" t="inlineStr">
        <is>
          <t>Mês (AAAAMM)</t>
        </is>
      </c>
      <c r="B1" s="1" t="inlineStr">
        <is>
          <t>IPCA número-índice (dez/1993=100)</t>
        </is>
      </c>
      <c r="C1" s="1" t="inlineStr"/>
      <c r="D1" s="1" t="inlineStr">
        <is>
          <t>Ano</t>
        </is>
      </c>
      <c r="E1" s="1" t="inlineStr">
        <is>
          <t>Média anual do índice</t>
        </is>
      </c>
      <c r="F1" s="1" t="inlineStr">
        <is>
          <t>Fator p/ R$ de 2025</t>
        </is>
      </c>
    </row>
    <row r="2">
      <c r="A2" t="n">
        <v>201501</v>
      </c>
      <c r="B2" s="2" t="n">
        <v>4110.2</v>
      </c>
      <c r="D2" t="n">
        <v>2015</v>
      </c>
      <c r="E2">
        <f>AVERAGEIFS($B$2:$B$142,$A$2:$A$142,"&gt;="&amp;D2*100+1,$A$2:$A$142,"&lt;="&amp;D2*100+12)</f>
        <v/>
      </c>
      <c r="F2">
        <f>$E$12/E2</f>
        <v/>
      </c>
    </row>
    <row r="3">
      <c r="A3" t="n">
        <v>201502</v>
      </c>
      <c r="B3" s="2" t="n">
        <v>4160.34</v>
      </c>
      <c r="D3" t="n">
        <v>2016</v>
      </c>
      <c r="E3">
        <f>AVERAGEIFS($B$2:$B$142,$A$2:$A$142,"&gt;="&amp;D3*100+1,$A$2:$A$142,"&lt;="&amp;D3*100+12)</f>
        <v/>
      </c>
      <c r="F3">
        <f>$E$12/E3</f>
        <v/>
      </c>
    </row>
    <row r="4">
      <c r="A4" t="n">
        <v>201503</v>
      </c>
      <c r="B4" s="2" t="n">
        <v>4215.26</v>
      </c>
      <c r="D4" t="n">
        <v>2017</v>
      </c>
      <c r="E4">
        <f>AVERAGEIFS($B$2:$B$142,$A$2:$A$142,"&gt;="&amp;D4*100+1,$A$2:$A$142,"&lt;="&amp;D4*100+12)</f>
        <v/>
      </c>
      <c r="F4">
        <f>$E$12/E4</f>
        <v/>
      </c>
    </row>
    <row r="5">
      <c r="A5" t="n">
        <v>201504</v>
      </c>
      <c r="B5" s="2" t="n">
        <v>4245.19</v>
      </c>
      <c r="D5" t="n">
        <v>2018</v>
      </c>
      <c r="E5">
        <f>AVERAGEIFS($B$2:$B$142,$A$2:$A$142,"&gt;="&amp;D5*100+1,$A$2:$A$142,"&lt;="&amp;D5*100+12)</f>
        <v/>
      </c>
      <c r="F5">
        <f>$E$12/E5</f>
        <v/>
      </c>
    </row>
    <row r="6">
      <c r="A6" t="n">
        <v>201505</v>
      </c>
      <c r="B6" s="2" t="n">
        <v>4276.6</v>
      </c>
      <c r="D6" t="n">
        <v>2019</v>
      </c>
      <c r="E6">
        <f>AVERAGEIFS($B$2:$B$142,$A$2:$A$142,"&gt;="&amp;D6*100+1,$A$2:$A$142,"&lt;="&amp;D6*100+12)</f>
        <v/>
      </c>
      <c r="F6">
        <f>$E$12/E6</f>
        <v/>
      </c>
    </row>
    <row r="7">
      <c r="A7" t="n">
        <v>201506</v>
      </c>
      <c r="B7" s="2" t="n">
        <v>4310.39</v>
      </c>
      <c r="D7" t="n">
        <v>2020</v>
      </c>
      <c r="E7">
        <f>AVERAGEIFS($B$2:$B$142,$A$2:$A$142,"&gt;="&amp;D7*100+1,$A$2:$A$142,"&lt;="&amp;D7*100+12)</f>
        <v/>
      </c>
      <c r="F7">
        <f>$E$12/E7</f>
        <v/>
      </c>
    </row>
    <row r="8">
      <c r="A8" t="n">
        <v>201507</v>
      </c>
      <c r="B8" s="2" t="n">
        <v>4337.11</v>
      </c>
      <c r="D8" t="n">
        <v>2021</v>
      </c>
      <c r="E8">
        <f>AVERAGEIFS($B$2:$B$142,$A$2:$A$142,"&gt;="&amp;D8*100+1,$A$2:$A$142,"&lt;="&amp;D8*100+12)</f>
        <v/>
      </c>
      <c r="F8">
        <f>$E$12/E8</f>
        <v/>
      </c>
    </row>
    <row r="9">
      <c r="A9" t="n">
        <v>201508</v>
      </c>
      <c r="B9" s="2" t="n">
        <v>4346.65</v>
      </c>
      <c r="D9" t="n">
        <v>2022</v>
      </c>
      <c r="E9">
        <f>AVERAGEIFS($B$2:$B$142,$A$2:$A$142,"&gt;="&amp;D9*100+1,$A$2:$A$142,"&lt;="&amp;D9*100+12)</f>
        <v/>
      </c>
      <c r="F9">
        <f>$E$12/E9</f>
        <v/>
      </c>
    </row>
    <row r="10">
      <c r="A10" t="n">
        <v>201509</v>
      </c>
      <c r="B10" s="2" t="n">
        <v>4370.12</v>
      </c>
      <c r="D10" t="n">
        <v>2023</v>
      </c>
      <c r="E10">
        <f>AVERAGEIFS($B$2:$B$142,$A$2:$A$142,"&gt;="&amp;D10*100+1,$A$2:$A$142,"&lt;="&amp;D10*100+12)</f>
        <v/>
      </c>
      <c r="F10">
        <f>$E$12/E10</f>
        <v/>
      </c>
    </row>
    <row r="11">
      <c r="A11" t="n">
        <v>201510</v>
      </c>
      <c r="B11" s="2" t="n">
        <v>4405.95</v>
      </c>
      <c r="D11" t="n">
        <v>2024</v>
      </c>
      <c r="E11">
        <f>AVERAGEIFS($B$2:$B$142,$A$2:$A$142,"&gt;="&amp;D11*100+1,$A$2:$A$142,"&lt;="&amp;D11*100+12)</f>
        <v/>
      </c>
      <c r="F11">
        <f>$E$12/E11</f>
        <v/>
      </c>
    </row>
    <row r="12">
      <c r="A12" t="n">
        <v>201511</v>
      </c>
      <c r="B12" s="2" t="n">
        <v>4450.45</v>
      </c>
      <c r="D12" t="n">
        <v>2025</v>
      </c>
      <c r="E12">
        <f>AVERAGEIFS($B$2:$B$142,$A$2:$A$142,"&gt;="&amp;D12*100+1,$A$2:$A$142,"&lt;="&amp;D12*100+12)</f>
        <v/>
      </c>
      <c r="F12">
        <f>$E$12/E12</f>
        <v/>
      </c>
    </row>
    <row r="13">
      <c r="A13" t="n">
        <v>201512</v>
      </c>
      <c r="B13" s="2" t="n">
        <v>4493.17</v>
      </c>
    </row>
    <row r="14">
      <c r="A14" t="n">
        <v>201601</v>
      </c>
      <c r="B14" s="2" t="n">
        <v>4550.23</v>
      </c>
    </row>
    <row r="15">
      <c r="A15" t="n">
        <v>201602</v>
      </c>
      <c r="B15" s="2" t="n">
        <v>4591.18</v>
      </c>
    </row>
    <row r="16">
      <c r="A16" t="n">
        <v>201603</v>
      </c>
      <c r="B16" s="2" t="n">
        <v>4610.92</v>
      </c>
    </row>
    <row r="17">
      <c r="A17" t="n">
        <v>201604</v>
      </c>
      <c r="B17" s="2" t="n">
        <v>4639.05</v>
      </c>
    </row>
    <row r="18">
      <c r="A18" t="n">
        <v>201605</v>
      </c>
      <c r="B18" s="2" t="n">
        <v>4675.23</v>
      </c>
    </row>
    <row r="19">
      <c r="A19" t="n">
        <v>201606</v>
      </c>
      <c r="B19" s="2" t="n">
        <v>4691.59</v>
      </c>
    </row>
    <row r="20">
      <c r="A20" t="n">
        <v>201607</v>
      </c>
      <c r="B20" s="2" t="n">
        <v>4715.99</v>
      </c>
    </row>
    <row r="21">
      <c r="A21" t="n">
        <v>201608</v>
      </c>
      <c r="B21" s="2" t="n">
        <v>4736.74</v>
      </c>
    </row>
    <row r="22">
      <c r="A22" t="n">
        <v>201609</v>
      </c>
      <c r="B22" s="2" t="n">
        <v>4740.53</v>
      </c>
    </row>
    <row r="23">
      <c r="A23" t="n">
        <v>201610</v>
      </c>
      <c r="B23" s="2" t="n">
        <v>4752.86</v>
      </c>
    </row>
    <row r="24">
      <c r="A24" t="n">
        <v>201611</v>
      </c>
      <c r="B24" s="2" t="n">
        <v>4761.42</v>
      </c>
    </row>
    <row r="25">
      <c r="A25" t="n">
        <v>201612</v>
      </c>
      <c r="B25" s="2" t="n">
        <v>4775.7</v>
      </c>
    </row>
    <row r="26">
      <c r="A26" t="n">
        <v>201701</v>
      </c>
      <c r="B26" s="2" t="n">
        <v>4793.85</v>
      </c>
    </row>
    <row r="27">
      <c r="A27" t="n">
        <v>201702</v>
      </c>
      <c r="B27" s="2" t="n">
        <v>4809.67</v>
      </c>
    </row>
    <row r="28">
      <c r="A28" t="n">
        <v>201703</v>
      </c>
      <c r="B28" s="2" t="n">
        <v>4821.69</v>
      </c>
    </row>
    <row r="29">
      <c r="A29" t="n">
        <v>201704</v>
      </c>
      <c r="B29" s="2" t="n">
        <v>4828.44</v>
      </c>
    </row>
    <row r="30">
      <c r="A30" t="n">
        <v>201705</v>
      </c>
      <c r="B30" s="2" t="n">
        <v>4843.41</v>
      </c>
    </row>
    <row r="31">
      <c r="A31" t="n">
        <v>201706</v>
      </c>
      <c r="B31" s="2" t="n">
        <v>4832.27</v>
      </c>
    </row>
    <row r="32">
      <c r="A32" t="n">
        <v>201707</v>
      </c>
      <c r="B32" s="2" t="n">
        <v>4843.87</v>
      </c>
    </row>
    <row r="33">
      <c r="A33" t="n">
        <v>201708</v>
      </c>
      <c r="B33" s="2" t="n">
        <v>4853.07</v>
      </c>
    </row>
    <row r="34">
      <c r="A34" t="n">
        <v>201709</v>
      </c>
      <c r="B34" s="2" t="n">
        <v>4860.83</v>
      </c>
    </row>
    <row r="35">
      <c r="A35" t="n">
        <v>201710</v>
      </c>
      <c r="B35" s="2" t="n">
        <v>4881.25</v>
      </c>
    </row>
    <row r="36">
      <c r="A36" t="n">
        <v>201711</v>
      </c>
      <c r="B36" s="2" t="n">
        <v>4894.92</v>
      </c>
    </row>
    <row r="37">
      <c r="A37" t="n">
        <v>201712</v>
      </c>
      <c r="B37" s="2" t="n">
        <v>4916.46</v>
      </c>
    </row>
    <row r="38">
      <c r="A38" t="n">
        <v>201801</v>
      </c>
      <c r="B38" s="2" t="n">
        <v>4930.72</v>
      </c>
    </row>
    <row r="39">
      <c r="A39" t="n">
        <v>201802</v>
      </c>
      <c r="B39" s="2" t="n">
        <v>4946.5</v>
      </c>
    </row>
    <row r="40">
      <c r="A40" t="n">
        <v>201803</v>
      </c>
      <c r="B40" s="2" t="n">
        <v>4950.95</v>
      </c>
    </row>
    <row r="41">
      <c r="A41" t="n">
        <v>201804</v>
      </c>
      <c r="B41" s="2" t="n">
        <v>4961.84</v>
      </c>
    </row>
    <row r="42">
      <c r="A42" t="n">
        <v>201805</v>
      </c>
      <c r="B42" s="2" t="n">
        <v>4981.69</v>
      </c>
    </row>
    <row r="43">
      <c r="A43" t="n">
        <v>201806</v>
      </c>
      <c r="B43" s="2" t="n">
        <v>5044.46</v>
      </c>
    </row>
    <row r="44">
      <c r="A44" t="n">
        <v>201807</v>
      </c>
      <c r="B44" s="2" t="n">
        <v>5061.11</v>
      </c>
    </row>
    <row r="45">
      <c r="A45" t="n">
        <v>201808</v>
      </c>
      <c r="B45" s="2" t="n">
        <v>5056.56</v>
      </c>
    </row>
    <row r="46">
      <c r="A46" t="n">
        <v>201809</v>
      </c>
      <c r="B46" s="2" t="n">
        <v>5080.83</v>
      </c>
    </row>
    <row r="47">
      <c r="A47" t="n">
        <v>201810</v>
      </c>
      <c r="B47" s="2" t="n">
        <v>5103.69</v>
      </c>
    </row>
    <row r="48">
      <c r="A48" t="n">
        <v>201811</v>
      </c>
      <c r="B48" s="2" t="n">
        <v>5092.97</v>
      </c>
    </row>
    <row r="49">
      <c r="A49" t="n">
        <v>201812</v>
      </c>
      <c r="B49" s="2" t="n">
        <v>5100.61</v>
      </c>
    </row>
    <row r="50">
      <c r="A50" t="n">
        <v>201901</v>
      </c>
      <c r="B50" s="2" t="n">
        <v>5116.93</v>
      </c>
    </row>
    <row r="51">
      <c r="A51" t="n">
        <v>201902</v>
      </c>
      <c r="B51" s="2" t="n">
        <v>5138.93</v>
      </c>
    </row>
    <row r="52">
      <c r="A52" t="n">
        <v>201903</v>
      </c>
      <c r="B52" s="2" t="n">
        <v>5177.47</v>
      </c>
    </row>
    <row r="53">
      <c r="A53" t="n">
        <v>201904</v>
      </c>
      <c r="B53" s="2" t="n">
        <v>5206.98</v>
      </c>
    </row>
    <row r="54">
      <c r="A54" t="n">
        <v>201905</v>
      </c>
      <c r="B54" s="2" t="n">
        <v>5213.75</v>
      </c>
    </row>
    <row r="55">
      <c r="A55" t="n">
        <v>201906</v>
      </c>
      <c r="B55" s="2" t="n">
        <v>5214.27</v>
      </c>
    </row>
    <row r="56">
      <c r="A56" t="n">
        <v>201907</v>
      </c>
      <c r="B56" s="2" t="n">
        <v>5224.18</v>
      </c>
    </row>
    <row r="57">
      <c r="A57" t="n">
        <v>201908</v>
      </c>
      <c r="B57" s="2" t="n">
        <v>5229.93</v>
      </c>
    </row>
    <row r="58">
      <c r="A58" t="n">
        <v>201909</v>
      </c>
      <c r="B58" s="2" t="n">
        <v>5227.84</v>
      </c>
    </row>
    <row r="59">
      <c r="A59" t="n">
        <v>201910</v>
      </c>
      <c r="B59" s="2" t="n">
        <v>5233.07</v>
      </c>
    </row>
    <row r="60">
      <c r="A60" t="n">
        <v>201911</v>
      </c>
      <c r="B60" s="2" t="n">
        <v>5259.76</v>
      </c>
    </row>
    <row r="61">
      <c r="A61" t="n">
        <v>201912</v>
      </c>
      <c r="B61" s="2" t="n">
        <v>5320.25</v>
      </c>
    </row>
    <row r="62">
      <c r="A62" t="n">
        <v>202001</v>
      </c>
      <c r="B62" s="2" t="n">
        <v>5331.42</v>
      </c>
    </row>
    <row r="63">
      <c r="A63" t="n">
        <v>202002</v>
      </c>
      <c r="B63" s="2" t="n">
        <v>5344.75</v>
      </c>
    </row>
    <row r="64">
      <c r="A64" t="n">
        <v>202003</v>
      </c>
      <c r="B64" s="2" t="n">
        <v>5348.49</v>
      </c>
    </row>
    <row r="65">
      <c r="A65" t="n">
        <v>202004</v>
      </c>
      <c r="B65" s="2" t="n">
        <v>5331.91</v>
      </c>
    </row>
    <row r="66">
      <c r="A66" t="n">
        <v>202005</v>
      </c>
      <c r="B66" s="2" t="n">
        <v>5311.65</v>
      </c>
    </row>
    <row r="67">
      <c r="A67" t="n">
        <v>202006</v>
      </c>
      <c r="B67" s="2" t="n">
        <v>5325.46</v>
      </c>
    </row>
    <row r="68">
      <c r="A68" t="n">
        <v>202007</v>
      </c>
      <c r="B68" s="2" t="n">
        <v>5344.63</v>
      </c>
    </row>
    <row r="69">
      <c r="A69" t="n">
        <v>202008</v>
      </c>
      <c r="B69" s="2" t="n">
        <v>5357.46</v>
      </c>
    </row>
    <row r="70">
      <c r="A70" t="n">
        <v>202009</v>
      </c>
      <c r="B70" s="2" t="n">
        <v>5391.75</v>
      </c>
    </row>
    <row r="71">
      <c r="A71" t="n">
        <v>202010</v>
      </c>
      <c r="B71" s="2" t="n">
        <v>5438.12</v>
      </c>
    </row>
    <row r="72">
      <c r="A72" t="n">
        <v>202011</v>
      </c>
      <c r="B72" s="2" t="n">
        <v>5486.52</v>
      </c>
    </row>
    <row r="73">
      <c r="A73" t="n">
        <v>202012</v>
      </c>
      <c r="B73" s="2" t="n">
        <v>5560.59</v>
      </c>
    </row>
    <row r="74">
      <c r="A74" t="n">
        <v>202101</v>
      </c>
      <c r="B74" s="2" t="n">
        <v>5574.49</v>
      </c>
    </row>
    <row r="75">
      <c r="A75" t="n">
        <v>202102</v>
      </c>
      <c r="B75" s="2" t="n">
        <v>5622.43</v>
      </c>
    </row>
    <row r="76">
      <c r="A76" t="n">
        <v>202103</v>
      </c>
      <c r="B76" s="2" t="n">
        <v>5674.72</v>
      </c>
    </row>
    <row r="77">
      <c r="A77" t="n">
        <v>202104</v>
      </c>
      <c r="B77" s="2" t="n">
        <v>5692.31</v>
      </c>
    </row>
    <row r="78">
      <c r="A78" t="n">
        <v>202105</v>
      </c>
      <c r="B78" s="2" t="n">
        <v>5739.56</v>
      </c>
    </row>
    <row r="79">
      <c r="A79" t="n">
        <v>202106</v>
      </c>
      <c r="B79" s="2" t="n">
        <v>5769.98</v>
      </c>
    </row>
    <row r="80">
      <c r="A80" t="n">
        <v>202107</v>
      </c>
      <c r="B80" s="2" t="n">
        <v>5825.37</v>
      </c>
    </row>
    <row r="81">
      <c r="A81" t="n">
        <v>202108</v>
      </c>
      <c r="B81" s="2" t="n">
        <v>5876.05</v>
      </c>
    </row>
    <row r="82">
      <c r="A82" t="n">
        <v>202109</v>
      </c>
      <c r="B82" s="2" t="n">
        <v>5944.21</v>
      </c>
    </row>
    <row r="83">
      <c r="A83" t="n">
        <v>202110</v>
      </c>
      <c r="B83" s="2" t="n">
        <v>6018.51</v>
      </c>
    </row>
    <row r="84">
      <c r="A84" t="n">
        <v>202111</v>
      </c>
      <c r="B84" s="2" t="n">
        <v>6075.69</v>
      </c>
    </row>
    <row r="85">
      <c r="A85" t="n">
        <v>202112</v>
      </c>
      <c r="B85" s="2" t="n">
        <v>6120.04</v>
      </c>
    </row>
    <row r="86">
      <c r="A86" t="n">
        <v>202201</v>
      </c>
      <c r="B86" s="2" t="n">
        <v>6153.09</v>
      </c>
    </row>
    <row r="87">
      <c r="A87" t="n">
        <v>202202</v>
      </c>
      <c r="B87" s="2" t="n">
        <v>6215.24</v>
      </c>
    </row>
    <row r="88">
      <c r="A88" t="n">
        <v>202203</v>
      </c>
      <c r="B88" s="2" t="n">
        <v>6315.93</v>
      </c>
    </row>
    <row r="89">
      <c r="A89" t="n">
        <v>202204</v>
      </c>
      <c r="B89" s="2" t="n">
        <v>6382.88</v>
      </c>
    </row>
    <row r="90">
      <c r="A90" t="n">
        <v>202205</v>
      </c>
      <c r="B90" s="2" t="n">
        <v>6412.88</v>
      </c>
    </row>
    <row r="91">
      <c r="A91" t="n">
        <v>202206</v>
      </c>
      <c r="B91" s="2" t="n">
        <v>6455.85</v>
      </c>
    </row>
    <row r="92">
      <c r="A92" t="n">
        <v>202207</v>
      </c>
      <c r="B92" s="2" t="n">
        <v>6411.95</v>
      </c>
    </row>
    <row r="93">
      <c r="A93" t="n">
        <v>202208</v>
      </c>
      <c r="B93" s="2" t="n">
        <v>6388.87</v>
      </c>
    </row>
    <row r="94">
      <c r="A94" t="n">
        <v>202209</v>
      </c>
      <c r="B94" s="2" t="n">
        <v>6370.34</v>
      </c>
    </row>
    <row r="95">
      <c r="A95" t="n">
        <v>202210</v>
      </c>
      <c r="B95" s="2" t="n">
        <v>6407.93</v>
      </c>
    </row>
    <row r="96">
      <c r="A96" t="n">
        <v>202211</v>
      </c>
      <c r="B96" s="2" t="n">
        <v>6434.2</v>
      </c>
    </row>
    <row r="97">
      <c r="A97" t="n">
        <v>202212</v>
      </c>
      <c r="B97" s="2" t="n">
        <v>6474.09</v>
      </c>
    </row>
    <row r="98">
      <c r="A98" t="n">
        <v>202301</v>
      </c>
      <c r="B98" s="2" t="n">
        <v>6508.4</v>
      </c>
    </row>
    <row r="99">
      <c r="A99" t="n">
        <v>202302</v>
      </c>
      <c r="B99" s="2" t="n">
        <v>6563.07</v>
      </c>
    </row>
    <row r="100">
      <c r="A100" t="n">
        <v>202303</v>
      </c>
      <c r="B100" s="2" t="n">
        <v>6609.67</v>
      </c>
    </row>
    <row r="101">
      <c r="A101" t="n">
        <v>202304</v>
      </c>
      <c r="B101" s="2" t="n">
        <v>6649.99</v>
      </c>
    </row>
    <row r="102">
      <c r="A102" t="n">
        <v>202305</v>
      </c>
      <c r="B102" s="2" t="n">
        <v>6665.28</v>
      </c>
    </row>
    <row r="103">
      <c r="A103" t="n">
        <v>202306</v>
      </c>
      <c r="B103" s="2" t="n">
        <v>6659.95</v>
      </c>
    </row>
    <row r="104">
      <c r="A104" t="n">
        <v>202307</v>
      </c>
      <c r="B104" s="2" t="n">
        <v>6667.94</v>
      </c>
    </row>
    <row r="105">
      <c r="A105" t="n">
        <v>202308</v>
      </c>
      <c r="B105" s="2" t="n">
        <v>6683.28</v>
      </c>
    </row>
    <row r="106">
      <c r="A106" t="n">
        <v>202309</v>
      </c>
      <c r="B106" s="2" t="n">
        <v>6700.66</v>
      </c>
    </row>
    <row r="107">
      <c r="A107" t="n">
        <v>202310</v>
      </c>
      <c r="B107" s="2" t="n">
        <v>6716.74</v>
      </c>
    </row>
    <row r="108">
      <c r="A108" t="n">
        <v>202311</v>
      </c>
      <c r="B108" s="2" t="n">
        <v>6735.55</v>
      </c>
    </row>
    <row r="109">
      <c r="A109" t="n">
        <v>202312</v>
      </c>
      <c r="B109" s="2" t="n">
        <v>6773.27</v>
      </c>
    </row>
    <row r="110">
      <c r="A110" t="n">
        <v>202401</v>
      </c>
      <c r="B110" s="2" t="n">
        <v>6801.72</v>
      </c>
    </row>
    <row r="111">
      <c r="A111" t="n">
        <v>202402</v>
      </c>
      <c r="B111" s="2" t="n">
        <v>6858.17</v>
      </c>
    </row>
    <row r="112">
      <c r="A112" t="n">
        <v>202403</v>
      </c>
      <c r="B112" s="2" t="n">
        <v>6869.14</v>
      </c>
    </row>
    <row r="113">
      <c r="A113" t="n">
        <v>202404</v>
      </c>
      <c r="B113" s="2" t="n">
        <v>6895.24</v>
      </c>
    </row>
    <row r="114">
      <c r="A114" t="n">
        <v>202405</v>
      </c>
      <c r="B114" s="2" t="n">
        <v>6926.96</v>
      </c>
    </row>
    <row r="115">
      <c r="A115" t="n">
        <v>202406</v>
      </c>
      <c r="B115" s="2" t="n">
        <v>6941.51</v>
      </c>
    </row>
    <row r="116">
      <c r="A116" t="n">
        <v>202407</v>
      </c>
      <c r="B116" s="2" t="n">
        <v>6967.89</v>
      </c>
    </row>
    <row r="117">
      <c r="A117" t="n">
        <v>202408</v>
      </c>
      <c r="B117" s="2" t="n">
        <v>6966.5</v>
      </c>
    </row>
    <row r="118">
      <c r="A118" t="n">
        <v>202409</v>
      </c>
      <c r="B118" s="2" t="n">
        <v>6997.15</v>
      </c>
    </row>
    <row r="119">
      <c r="A119" t="n">
        <v>202410</v>
      </c>
      <c r="B119" s="2" t="n">
        <v>7036.33</v>
      </c>
    </row>
    <row r="120">
      <c r="A120" t="n">
        <v>202411</v>
      </c>
      <c r="B120" s="2" t="n">
        <v>7063.77</v>
      </c>
    </row>
    <row r="121">
      <c r="A121" t="n">
        <v>202412</v>
      </c>
      <c r="B121" s="2" t="n">
        <v>7100.5</v>
      </c>
    </row>
    <row r="122">
      <c r="A122" t="n">
        <v>202501</v>
      </c>
      <c r="B122" s="2" t="n">
        <v>7111.86</v>
      </c>
    </row>
    <row r="123">
      <c r="A123" t="n">
        <v>202502</v>
      </c>
      <c r="B123" s="2" t="n">
        <v>7205.03</v>
      </c>
    </row>
    <row r="124">
      <c r="A124" t="n">
        <v>202503</v>
      </c>
      <c r="B124" s="2" t="n">
        <v>7245.38</v>
      </c>
    </row>
    <row r="125">
      <c r="A125" t="n">
        <v>202504</v>
      </c>
      <c r="B125" s="2" t="n">
        <v>7276.54</v>
      </c>
    </row>
    <row r="126">
      <c r="A126" t="n">
        <v>202505</v>
      </c>
      <c r="B126" s="2" t="n">
        <v>7295.46</v>
      </c>
    </row>
    <row r="127">
      <c r="A127" t="n">
        <v>202506</v>
      </c>
      <c r="B127" s="2" t="n">
        <v>7312.97</v>
      </c>
    </row>
    <row r="128">
      <c r="A128" t="n">
        <v>202507</v>
      </c>
      <c r="B128" s="2" t="n">
        <v>7331.98</v>
      </c>
    </row>
    <row r="129">
      <c r="A129" t="n">
        <v>202508</v>
      </c>
      <c r="B129" s="2" t="n">
        <v>7323.91</v>
      </c>
    </row>
    <row r="130">
      <c r="A130" t="n">
        <v>202509</v>
      </c>
      <c r="B130" s="2" t="n">
        <v>7359.06</v>
      </c>
    </row>
    <row r="131">
      <c r="A131" t="n">
        <v>202510</v>
      </c>
      <c r="B131" s="2" t="n">
        <v>7365.68</v>
      </c>
    </row>
    <row r="132">
      <c r="A132" t="n">
        <v>202511</v>
      </c>
      <c r="B132" s="2" t="n">
        <v>7378.94</v>
      </c>
    </row>
    <row r="133">
      <c r="A133" t="n">
        <v>202512</v>
      </c>
      <c r="B133" s="2" t="n">
        <v>7403.29</v>
      </c>
    </row>
    <row r="134">
      <c r="A134" t="n">
        <v>202601</v>
      </c>
      <c r="B134" s="2" t="n">
        <v>7427.72</v>
      </c>
    </row>
    <row r="135">
      <c r="A135" t="n">
        <v>202602</v>
      </c>
      <c r="B135" s="2" t="n">
        <v>7479.71</v>
      </c>
    </row>
    <row r="136">
      <c r="A136" t="n">
        <v>202603</v>
      </c>
      <c r="B136" s="2" t="n">
        <v>7545.53</v>
      </c>
    </row>
    <row r="137">
      <c r="A137" t="n">
        <v>202604</v>
      </c>
      <c r="B137" s="2" t="n">
        <v>7596.09</v>
      </c>
    </row>
    <row r="138">
      <c r="A138" t="n">
        <v>202605</v>
      </c>
      <c r="B138" s="2" t="n">
        <v>7640.15</v>
      </c>
    </row>
    <row r="139">
      <c r="A139" t="n">
        <v>202606</v>
      </c>
      <c r="B139" s="2" t="n">
        <v>7652.37</v>
      </c>
    </row>
    <row r="140">
      <c r="A140" t="n">
        <v>202607</v>
      </c>
      <c r="B140" s="2" t="n">
        <v>7657.73</v>
      </c>
    </row>
    <row r="141">
      <c r="A141" t="n">
        <v>202608</v>
      </c>
      <c r="B141" s="2" t="n">
        <v>7633.23</v>
      </c>
    </row>
    <row r="142">
      <c r="A142" t="n">
        <v>202609</v>
      </c>
      <c r="B142" s="2" t="n">
        <v>7695.82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5" customHeight="1">
      <c r="A1" s="1" t="inlineStr">
        <is>
          <t>Município</t>
        </is>
      </c>
      <c r="B1" s="1" t="inlineStr">
        <is>
          <t>Ano</t>
        </is>
      </c>
      <c r="C1" s="1" t="inlineStr">
        <is>
          <t>Censo 2010 (1/8/2010)</t>
        </is>
      </c>
      <c r="D1" s="1" t="inlineStr">
        <is>
          <t>Censo 2022 (1/8/2022)</t>
        </is>
      </c>
      <c r="E1" s="1" t="inlineStr">
        <is>
          <t>Estimativa 2024 (1/7/2024)</t>
        </is>
      </c>
      <c r="F1" s="1" t="inlineStr">
        <is>
          <t>Estimativa oficial do ano</t>
        </is>
      </c>
      <c r="G1" s="1" t="inlineStr">
        <is>
          <t>População harmonizada</t>
        </is>
      </c>
      <c r="H1" s="1" t="inlineStr">
        <is>
          <t>Regra</t>
        </is>
      </c>
    </row>
    <row r="2">
      <c r="A2" t="inlineStr">
        <is>
          <t>Manaus</t>
        </is>
      </c>
      <c r="B2" t="n">
        <v>2016</v>
      </c>
      <c r="C2" s="2" t="n">
        <v>1802014</v>
      </c>
      <c r="D2" s="2" t="n">
        <v>2063689</v>
      </c>
      <c r="E2" s="2" t="n">
        <v>2279686</v>
      </c>
      <c r="F2" s="2" t="n">
        <v>2094391</v>
      </c>
      <c r="G2">
        <f>ROUND(C2*(D2/C2)^((B2+6/12-(2010+7/12))/12),0)</f>
        <v/>
      </c>
      <c r="H2" t="inlineStr">
        <is>
          <t>Interpolação Censo 2010–2022</t>
        </is>
      </c>
    </row>
    <row r="3">
      <c r="A3" t="inlineStr">
        <is>
          <t>Manaus</t>
        </is>
      </c>
      <c r="B3" t="n">
        <v>2017</v>
      </c>
      <c r="C3" s="2" t="n">
        <v>1802014</v>
      </c>
      <c r="D3" s="2" t="n">
        <v>2063689</v>
      </c>
      <c r="E3" s="2" t="n">
        <v>2279686</v>
      </c>
      <c r="F3" s="2" t="n">
        <v>2130264</v>
      </c>
      <c r="G3">
        <f>ROUND(C3*(D3/C3)^((B3+6/12-(2010+7/12))/12),0)</f>
        <v/>
      </c>
      <c r="H3" t="inlineStr">
        <is>
          <t>Interpolação Censo 2010–2022</t>
        </is>
      </c>
    </row>
    <row r="4">
      <c r="A4" t="inlineStr">
        <is>
          <t>Manaus</t>
        </is>
      </c>
      <c r="B4" t="n">
        <v>2018</v>
      </c>
      <c r="C4" s="2" t="n">
        <v>1802014</v>
      </c>
      <c r="D4" s="2" t="n">
        <v>2063689</v>
      </c>
      <c r="E4" s="2" t="n">
        <v>2279686</v>
      </c>
      <c r="F4" s="2" t="n">
        <v>2145444</v>
      </c>
      <c r="G4">
        <f>ROUND(C4*(D4/C4)^((B4+6/12-(2010+7/12))/12),0)</f>
        <v/>
      </c>
      <c r="H4" t="inlineStr">
        <is>
          <t>Interpolação Censo 2010–2022</t>
        </is>
      </c>
    </row>
    <row r="5">
      <c r="A5" t="inlineStr">
        <is>
          <t>Manaus</t>
        </is>
      </c>
      <c r="B5" t="n">
        <v>2019</v>
      </c>
      <c r="C5" s="2" t="n">
        <v>1802014</v>
      </c>
      <c r="D5" s="2" t="n">
        <v>2063689</v>
      </c>
      <c r="E5" s="2" t="n">
        <v>2279686</v>
      </c>
      <c r="F5" s="2" t="n">
        <v>2182763</v>
      </c>
      <c r="G5">
        <f>ROUND(C5*(D5/C5)^((B5+6/12-(2010+7/12))/12),0)</f>
        <v/>
      </c>
      <c r="H5" t="inlineStr">
        <is>
          <t>Interpolação Censo 2010–2022</t>
        </is>
      </c>
    </row>
    <row r="6">
      <c r="A6" t="inlineStr">
        <is>
          <t>Manaus</t>
        </is>
      </c>
      <c r="B6" t="n">
        <v>2020</v>
      </c>
      <c r="C6" s="2" t="n">
        <v>1802014</v>
      </c>
      <c r="D6" s="2" t="n">
        <v>2063689</v>
      </c>
      <c r="E6" s="2" t="n">
        <v>2279686</v>
      </c>
      <c r="F6" s="2" t="n">
        <v>2219580</v>
      </c>
      <c r="G6">
        <f>ROUND(C6*(D6/C6)^((B6+6/12-(2010+7/12))/12),0)</f>
        <v/>
      </c>
      <c r="H6" t="inlineStr">
        <is>
          <t>Interpolação Censo 2010–2022</t>
        </is>
      </c>
    </row>
    <row r="7">
      <c r="A7" t="inlineStr">
        <is>
          <t>Manaus</t>
        </is>
      </c>
      <c r="B7" t="n">
        <v>2021</v>
      </c>
      <c r="C7" s="2" t="n">
        <v>1802014</v>
      </c>
      <c r="D7" s="2" t="n">
        <v>2063689</v>
      </c>
      <c r="E7" s="2" t="n">
        <v>2279686</v>
      </c>
      <c r="F7" s="2" t="n">
        <v>2255903</v>
      </c>
      <c r="G7">
        <f>ROUND(C7*(D7/C7)^((B7+6/12-(2010+7/12))/12),0)</f>
        <v/>
      </c>
      <c r="H7" t="inlineStr">
        <is>
          <t>Interpolação Censo 2010–2022</t>
        </is>
      </c>
    </row>
    <row r="8">
      <c r="A8" t="inlineStr">
        <is>
          <t>Manaus</t>
        </is>
      </c>
      <c r="B8" t="n">
        <v>2022</v>
      </c>
      <c r="C8" s="2" t="n">
        <v>1802014</v>
      </c>
      <c r="D8" s="2" t="n">
        <v>2063689</v>
      </c>
      <c r="E8" s="2" t="n">
        <v>2279686</v>
      </c>
      <c r="F8" s="2" t="n">
        <v>2063689</v>
      </c>
      <c r="G8">
        <f>D8</f>
        <v/>
      </c>
      <c r="H8" t="inlineStr">
        <is>
          <t>Censo 2022</t>
        </is>
      </c>
    </row>
    <row r="9">
      <c r="A9" t="inlineStr">
        <is>
          <t>Manaus</t>
        </is>
      </c>
      <c r="B9" t="n">
        <v>2023</v>
      </c>
      <c r="C9" s="2" t="n">
        <v>1802014</v>
      </c>
      <c r="D9" s="2" t="n">
        <v>2063689</v>
      </c>
      <c r="E9" s="2" t="n">
        <v>2279686</v>
      </c>
      <c r="G9">
        <f>ROUND(D9*((E9/D9)^(1/(2024+6/12-(2022+7/12))))^(2023+6/12-(2022+7/12)),0)</f>
        <v/>
      </c>
      <c r="H9" t="inlineStr">
        <is>
          <t>Interpolação Censo 2022–estimativa 2024</t>
        </is>
      </c>
    </row>
    <row r="10">
      <c r="A10" t="inlineStr">
        <is>
          <t>Manaus</t>
        </is>
      </c>
      <c r="B10" t="n">
        <v>2024</v>
      </c>
      <c r="C10" s="2" t="n">
        <v>1802014</v>
      </c>
      <c r="D10" s="2" t="n">
        <v>2063689</v>
      </c>
      <c r="E10" s="2" t="n">
        <v>2279686</v>
      </c>
      <c r="F10" s="2" t="n">
        <v>2279686</v>
      </c>
      <c r="G10">
        <f>F10</f>
        <v/>
      </c>
      <c r="H10" t="inlineStr">
        <is>
          <t>Estimativa IBGE pós-censo</t>
        </is>
      </c>
    </row>
    <row r="11">
      <c r="A11" t="inlineStr">
        <is>
          <t>Manaus</t>
        </is>
      </c>
      <c r="B11" t="n">
        <v>2025</v>
      </c>
      <c r="C11" s="2" t="n">
        <v>1802014</v>
      </c>
      <c r="D11" s="2" t="n">
        <v>2063689</v>
      </c>
      <c r="E11" s="2" t="n">
        <v>2279686</v>
      </c>
      <c r="F11" s="2" t="n">
        <v>2303732</v>
      </c>
      <c r="G11">
        <f>F11</f>
        <v/>
      </c>
      <c r="H11" t="inlineStr">
        <is>
          <t>Estimativa IBGE pós-censo</t>
        </is>
      </c>
    </row>
    <row r="12">
      <c r="A12" t="inlineStr">
        <is>
          <t>Parintins</t>
        </is>
      </c>
      <c r="B12" t="n">
        <v>2016</v>
      </c>
      <c r="C12" s="2" t="n">
        <v>102033</v>
      </c>
      <c r="D12" s="2" t="n">
        <v>96372</v>
      </c>
      <c r="E12" s="2" t="n">
        <v>101956</v>
      </c>
      <c r="F12" s="2" t="n">
        <v>112716</v>
      </c>
      <c r="G12">
        <f>ROUND(C12*(D12/C12)^((B12+6/12-(2010+7/12))/12),0)</f>
        <v/>
      </c>
      <c r="H12" t="inlineStr">
        <is>
          <t>Interpolação Censo 2010–2022</t>
        </is>
      </c>
    </row>
    <row r="13">
      <c r="A13" t="inlineStr">
        <is>
          <t>Parintins</t>
        </is>
      </c>
      <c r="B13" t="n">
        <v>2017</v>
      </c>
      <c r="C13" s="2" t="n">
        <v>102033</v>
      </c>
      <c r="D13" s="2" t="n">
        <v>96372</v>
      </c>
      <c r="E13" s="2" t="n">
        <v>101956</v>
      </c>
      <c r="F13" s="2" t="n">
        <v>113832</v>
      </c>
      <c r="G13">
        <f>ROUND(C13*(D13/C13)^((B13+6/12-(2010+7/12))/12),0)</f>
        <v/>
      </c>
      <c r="H13" t="inlineStr">
        <is>
          <t>Interpolação Censo 2010–2022</t>
        </is>
      </c>
    </row>
    <row r="14">
      <c r="A14" t="inlineStr">
        <is>
          <t>Parintins</t>
        </is>
      </c>
      <c r="B14" t="n">
        <v>2018</v>
      </c>
      <c r="C14" s="2" t="n">
        <v>102033</v>
      </c>
      <c r="D14" s="2" t="n">
        <v>96372</v>
      </c>
      <c r="E14" s="2" t="n">
        <v>101956</v>
      </c>
      <c r="F14" s="2" t="n">
        <v>113168</v>
      </c>
      <c r="G14">
        <f>ROUND(C14*(D14/C14)^((B14+6/12-(2010+7/12))/12),0)</f>
        <v/>
      </c>
      <c r="H14" t="inlineStr">
        <is>
          <t>Interpolação Censo 2010–2022</t>
        </is>
      </c>
    </row>
    <row r="15">
      <c r="A15" t="inlineStr">
        <is>
          <t>Parintins</t>
        </is>
      </c>
      <c r="B15" t="n">
        <v>2019</v>
      </c>
      <c r="C15" s="2" t="n">
        <v>102033</v>
      </c>
      <c r="D15" s="2" t="n">
        <v>96372</v>
      </c>
      <c r="E15" s="2" t="n">
        <v>101956</v>
      </c>
      <c r="F15" s="2" t="n">
        <v>114273</v>
      </c>
      <c r="G15">
        <f>ROUND(C15*(D15/C15)^((B15+6/12-(2010+7/12))/12),0)</f>
        <v/>
      </c>
      <c r="H15" t="inlineStr">
        <is>
          <t>Interpolação Censo 2010–2022</t>
        </is>
      </c>
    </row>
    <row r="16">
      <c r="A16" t="inlineStr">
        <is>
          <t>Parintins</t>
        </is>
      </c>
      <c r="B16" t="n">
        <v>2020</v>
      </c>
      <c r="C16" s="2" t="n">
        <v>102033</v>
      </c>
      <c r="D16" s="2" t="n">
        <v>96372</v>
      </c>
      <c r="E16" s="2" t="n">
        <v>101956</v>
      </c>
      <c r="F16" s="2" t="n">
        <v>115363</v>
      </c>
      <c r="G16">
        <f>ROUND(C16*(D16/C16)^((B16+6/12-(2010+7/12))/12),0)</f>
        <v/>
      </c>
      <c r="H16" t="inlineStr">
        <is>
          <t>Interpolação Censo 2010–2022</t>
        </is>
      </c>
    </row>
    <row r="17">
      <c r="A17" t="inlineStr">
        <is>
          <t>Parintins</t>
        </is>
      </c>
      <c r="B17" t="n">
        <v>2021</v>
      </c>
      <c r="C17" s="2" t="n">
        <v>102033</v>
      </c>
      <c r="D17" s="2" t="n">
        <v>96372</v>
      </c>
      <c r="E17" s="2" t="n">
        <v>101956</v>
      </c>
      <c r="F17" s="2" t="n">
        <v>116439</v>
      </c>
      <c r="G17">
        <f>ROUND(C17*(D17/C17)^((B17+6/12-(2010+7/12))/12),0)</f>
        <v/>
      </c>
      <c r="H17" t="inlineStr">
        <is>
          <t>Interpolação Censo 2010–2022</t>
        </is>
      </c>
    </row>
    <row r="18">
      <c r="A18" t="inlineStr">
        <is>
          <t>Parintins</t>
        </is>
      </c>
      <c r="B18" t="n">
        <v>2022</v>
      </c>
      <c r="C18" s="2" t="n">
        <v>102033</v>
      </c>
      <c r="D18" s="2" t="n">
        <v>96372</v>
      </c>
      <c r="E18" s="2" t="n">
        <v>101956</v>
      </c>
      <c r="F18" s="2" t="n">
        <v>96372</v>
      </c>
      <c r="G18">
        <f>D18</f>
        <v/>
      </c>
      <c r="H18" t="inlineStr">
        <is>
          <t>Censo 2022</t>
        </is>
      </c>
    </row>
    <row r="19">
      <c r="A19" t="inlineStr">
        <is>
          <t>Parintins</t>
        </is>
      </c>
      <c r="B19" t="n">
        <v>2023</v>
      </c>
      <c r="C19" s="2" t="n">
        <v>102033</v>
      </c>
      <c r="D19" s="2" t="n">
        <v>96372</v>
      </c>
      <c r="E19" s="2" t="n">
        <v>101956</v>
      </c>
      <c r="G19">
        <f>ROUND(D19*((E19/D19)^(1/(2024+6/12-(2022+7/12))))^(2023+6/12-(2022+7/12)),0)</f>
        <v/>
      </c>
      <c r="H19" t="inlineStr">
        <is>
          <t>Interpolação Censo 2022–estimativa 2024</t>
        </is>
      </c>
    </row>
    <row r="20">
      <c r="A20" t="inlineStr">
        <is>
          <t>Parintins</t>
        </is>
      </c>
      <c r="B20" t="n">
        <v>2024</v>
      </c>
      <c r="C20" s="2" t="n">
        <v>102033</v>
      </c>
      <c r="D20" s="2" t="n">
        <v>96372</v>
      </c>
      <c r="E20" s="2" t="n">
        <v>101956</v>
      </c>
      <c r="F20" s="2" t="n">
        <v>101956</v>
      </c>
      <c r="G20">
        <f>F20</f>
        <v/>
      </c>
      <c r="H20" t="inlineStr">
        <is>
          <t>Estimativa IBGE pós-censo</t>
        </is>
      </c>
    </row>
    <row r="21">
      <c r="A21" t="inlineStr">
        <is>
          <t>Parintins</t>
        </is>
      </c>
      <c r="B21" t="n">
        <v>2025</v>
      </c>
      <c r="C21" s="2" t="n">
        <v>102033</v>
      </c>
      <c r="D21" s="2" t="n">
        <v>96372</v>
      </c>
      <c r="E21" s="2" t="n">
        <v>101956</v>
      </c>
      <c r="F21" s="2" t="n">
        <v>101855</v>
      </c>
      <c r="G21">
        <f>F21</f>
        <v/>
      </c>
      <c r="H21" t="inlineStr">
        <is>
          <t>Estimativa IBGE pós-censo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45" customHeight="1">
      <c r="A1" s="1" t="inlineStr">
        <is>
          <t>Ano</t>
        </is>
      </c>
      <c r="B1" s="1" t="inlineStr">
        <is>
          <t>Receita corrente bruta (1.0)</t>
        </is>
      </c>
      <c r="C1" s="1" t="inlineStr">
        <is>
          <t>Deduções da receita corrente (FUNDEB e outras)</t>
        </is>
      </c>
      <c r="D1" s="1" t="inlineStr">
        <is>
          <t>Receita de capital (2.0)</t>
        </is>
      </c>
      <c r="E1" s="1" t="inlineStr">
        <is>
          <t>Receita tributária (1.1)</t>
        </is>
      </c>
      <c r="F1" s="1" t="inlineStr">
        <is>
          <t>Transferências correntes brutas (1.7)</t>
        </is>
      </c>
      <c r="G1" s="1" t="inlineStr">
        <is>
          <t>Deduções sobre transf. correntes</t>
        </is>
      </c>
      <c r="H1" s="1" t="inlineStr">
        <is>
          <t>Transferências de capital (2.4)</t>
        </is>
      </c>
      <c r="I1" s="1" t="inlineStr">
        <is>
          <t>FPM</t>
        </is>
      </c>
      <c r="J1" s="1" t="inlineStr">
        <is>
          <t>Cota-parte ICMS</t>
        </is>
      </c>
      <c r="K1" s="1" t="inlineStr">
        <is>
          <t>FUNDEB recebido</t>
        </is>
      </c>
      <c r="L1" s="1" t="inlineStr">
        <is>
          <t>SUS corrente</t>
        </is>
      </c>
      <c r="M1" s="1" t="inlineStr">
        <is>
          <t>Despesa empenhada exceto intra</t>
        </is>
      </c>
      <c r="N1" s="1" t="inlineStr">
        <is>
          <t>Receita total líquida</t>
        </is>
      </c>
      <c r="O1" s="1" t="inlineStr">
        <is>
          <t>Transferências líquidas</t>
        </is>
      </c>
      <c r="P1" s="1" t="inlineStr">
        <is>
          <t>Dependência (%)</t>
        </is>
      </c>
      <c r="Q1" s="1" t="inlineStr">
        <is>
          <t>Autonomia tributária (%)</t>
        </is>
      </c>
      <c r="R1" s="1" t="inlineStr">
        <is>
          <t>Resultado orçamentário (R$)</t>
        </is>
      </c>
      <c r="S1" s="1" t="inlineStr">
        <is>
          <t>Fator IPCA (R$ 2025)</t>
        </is>
      </c>
      <c r="T1" s="1" t="inlineStr">
        <is>
          <t>População harmonizada</t>
        </is>
      </c>
      <c r="U1" s="1" t="inlineStr">
        <is>
          <t>Receita total líquida real pc</t>
        </is>
      </c>
      <c r="V1" s="1" t="inlineStr">
        <is>
          <t>Receita tributária real pc</t>
        </is>
      </c>
      <c r="W1" s="1" t="inlineStr">
        <is>
          <t>Transferências líquidas reais pc</t>
        </is>
      </c>
      <c r="X1" s="1" t="inlineStr">
        <is>
          <t>Despesa real pc</t>
        </is>
      </c>
    </row>
    <row r="2">
      <c r="A2" t="n">
        <v>2016</v>
      </c>
      <c r="B2" s="3" t="n">
        <v>4194002662.48</v>
      </c>
      <c r="C2" s="3" t="n">
        <v>406407168.79</v>
      </c>
      <c r="D2" s="3" t="n">
        <v>571417984.4400001</v>
      </c>
      <c r="E2" s="3" t="n">
        <v>924619011.51</v>
      </c>
      <c r="F2" s="3" t="n">
        <v>2608987270.41</v>
      </c>
      <c r="G2" s="3" t="n">
        <v>333574655.42</v>
      </c>
      <c r="H2" s="3" t="n">
        <v>19879305.41</v>
      </c>
      <c r="I2" s="3" t="n">
        <v>449395397.12</v>
      </c>
      <c r="J2" s="3" t="n">
        <v>1101045454.73</v>
      </c>
      <c r="K2" s="3" t="n">
        <v>632981296.9299999</v>
      </c>
      <c r="L2" s="3" t="n">
        <v>183521386.05</v>
      </c>
      <c r="M2" s="3" t="n">
        <v>4183599834.6</v>
      </c>
      <c r="N2" s="4">
        <f>B2-C2+D2</f>
        <v/>
      </c>
      <c r="O2" s="4">
        <f>F2-G2+H2</f>
        <v/>
      </c>
      <c r="P2" s="4">
        <f>100*O2/N2</f>
        <v/>
      </c>
      <c r="Q2" s="4">
        <f>100*E2/(B2-C2)</f>
        <v/>
      </c>
      <c r="R2" s="4">
        <f>N2-M2</f>
        <v/>
      </c>
      <c r="S2" s="4">
        <f>INDEX(IPCA!$F$2:$F$12,MATCH(A2,IPCA!$D$2:$D$12,0))</f>
        <v/>
      </c>
      <c r="T2" s="4">
        <f>SUMIFS(Populacao!$G$2:$G$21,Populacao!$A$2:$A$21,"Manaus",Populacao!$B$2:$B$21,A2)</f>
        <v/>
      </c>
      <c r="U2" s="4">
        <f>N2*S2/T2</f>
        <v/>
      </c>
      <c r="V2" s="4">
        <f>E2*S2/T2</f>
        <v/>
      </c>
      <c r="W2" s="4">
        <f>O2*S2/T2</f>
        <v/>
      </c>
      <c r="X2" s="4">
        <f>M2*S2/T2</f>
        <v/>
      </c>
    </row>
    <row r="3">
      <c r="A3" t="n">
        <v>2017</v>
      </c>
      <c r="B3" s="3" t="n">
        <v>4522419187.04</v>
      </c>
      <c r="C3" s="3" t="n">
        <v>442219849.95</v>
      </c>
      <c r="D3" s="3" t="n">
        <v>35183696.53</v>
      </c>
      <c r="E3" s="3" t="n">
        <v>958988677.25</v>
      </c>
      <c r="F3" s="3" t="n">
        <v>2940325625.32</v>
      </c>
      <c r="G3" s="3" t="n">
        <v>366917680.56</v>
      </c>
      <c r="H3" s="3" t="n">
        <v>13463837.5</v>
      </c>
      <c r="I3" s="3" t="n">
        <v>441066211.45</v>
      </c>
      <c r="J3" s="3" t="n">
        <v>1272654943.72</v>
      </c>
      <c r="K3" s="3" t="n">
        <v>817710193.12</v>
      </c>
      <c r="L3" s="3" t="n">
        <v>159844023.91</v>
      </c>
      <c r="M3" s="3" t="n">
        <v>4209122850.93</v>
      </c>
      <c r="N3" s="4">
        <f>B3-C3+D3</f>
        <v/>
      </c>
      <c r="O3" s="4">
        <f>F3-G3+H3</f>
        <v/>
      </c>
      <c r="P3" s="4">
        <f>100*O3/N3</f>
        <v/>
      </c>
      <c r="Q3" s="4">
        <f>100*E3/(B3-C3)</f>
        <v/>
      </c>
      <c r="R3" s="4">
        <f>N3-M3</f>
        <v/>
      </c>
      <c r="S3" s="4">
        <f>INDEX(IPCA!$F$2:$F$12,MATCH(A3,IPCA!$D$2:$D$12,0))</f>
        <v/>
      </c>
      <c r="T3" s="4">
        <f>SUMIFS(Populacao!$G$2:$G$21,Populacao!$A$2:$A$21,"Manaus",Populacao!$B$2:$B$21,A3)</f>
        <v/>
      </c>
      <c r="U3" s="4">
        <f>N3*S3/T3</f>
        <v/>
      </c>
      <c r="V3" s="4">
        <f>E3*S3/T3</f>
        <v/>
      </c>
      <c r="W3" s="4">
        <f>O3*S3/T3</f>
        <v/>
      </c>
      <c r="X3" s="4">
        <f>M3*S3/T3</f>
        <v/>
      </c>
    </row>
    <row r="4">
      <c r="A4" t="n">
        <v>2018</v>
      </c>
      <c r="B4" s="3" t="n">
        <v>5055040068.97</v>
      </c>
      <c r="C4" s="3" t="n">
        <v>499104496.66</v>
      </c>
      <c r="D4" s="3" t="n">
        <v>222149093.86</v>
      </c>
      <c r="E4" s="3" t="n">
        <v>1203831211.42</v>
      </c>
      <c r="F4" s="3" t="n">
        <v>3263532232.22</v>
      </c>
      <c r="G4" s="3" t="n">
        <v>419213828.19</v>
      </c>
      <c r="H4" s="3" t="n">
        <v>36758205.61</v>
      </c>
      <c r="I4" s="3" t="n">
        <v>531277620.42</v>
      </c>
      <c r="J4" s="3" t="n">
        <v>1427829654.68</v>
      </c>
      <c r="K4" s="3" t="n">
        <v>822557690.5599999</v>
      </c>
      <c r="L4" s="3" t="n">
        <v>181647767.8</v>
      </c>
      <c r="M4" s="3" t="n">
        <v>4600946444.71</v>
      </c>
      <c r="N4" s="4">
        <f>B4-C4+D4</f>
        <v/>
      </c>
      <c r="O4" s="4">
        <f>F4-G4+H4</f>
        <v/>
      </c>
      <c r="P4" s="4">
        <f>100*O4/N4</f>
        <v/>
      </c>
      <c r="Q4" s="4">
        <f>100*E4/(B4-C4)</f>
        <v/>
      </c>
      <c r="R4" s="4">
        <f>N4-M4</f>
        <v/>
      </c>
      <c r="S4" s="4">
        <f>INDEX(IPCA!$F$2:$F$12,MATCH(A4,IPCA!$D$2:$D$12,0))</f>
        <v/>
      </c>
      <c r="T4" s="4">
        <f>SUMIFS(Populacao!$G$2:$G$21,Populacao!$A$2:$A$21,"Manaus",Populacao!$B$2:$B$21,A4)</f>
        <v/>
      </c>
      <c r="U4" s="4">
        <f>N4*S4/T4</f>
        <v/>
      </c>
      <c r="V4" s="4">
        <f>E4*S4/T4</f>
        <v/>
      </c>
      <c r="W4" s="4">
        <f>O4*S4/T4</f>
        <v/>
      </c>
      <c r="X4" s="4">
        <f>M4*S4/T4</f>
        <v/>
      </c>
    </row>
    <row r="5">
      <c r="A5" t="n">
        <v>2019</v>
      </c>
      <c r="B5" s="3" t="n">
        <v>5465300836.6</v>
      </c>
      <c r="C5" s="3" t="n">
        <v>542834679.75</v>
      </c>
      <c r="D5" s="3" t="n">
        <v>691570045.74</v>
      </c>
      <c r="E5" s="3" t="n">
        <v>1322193428.42</v>
      </c>
      <c r="F5" s="3" t="n">
        <v>3557059042.43</v>
      </c>
      <c r="G5" s="3" t="n">
        <v>461618428.7000001</v>
      </c>
      <c r="H5" s="3" t="n">
        <v>69077186.27</v>
      </c>
      <c r="I5" s="3" t="n">
        <v>572646958.72</v>
      </c>
      <c r="J5" s="3" t="n">
        <v>1583755156.73</v>
      </c>
      <c r="K5" s="3" t="n">
        <v>885264125.2800001</v>
      </c>
      <c r="L5" s="3" t="n">
        <v>178845571.07</v>
      </c>
      <c r="M5" s="3" t="n">
        <v>5446499554.21</v>
      </c>
      <c r="N5" s="4">
        <f>B5-C5+D5</f>
        <v/>
      </c>
      <c r="O5" s="4">
        <f>F5-G5+H5</f>
        <v/>
      </c>
      <c r="P5" s="4">
        <f>100*O5/N5</f>
        <v/>
      </c>
      <c r="Q5" s="4">
        <f>100*E5/(B5-C5)</f>
        <v/>
      </c>
      <c r="R5" s="4">
        <f>N5-M5</f>
        <v/>
      </c>
      <c r="S5" s="4">
        <f>INDEX(IPCA!$F$2:$F$12,MATCH(A5,IPCA!$D$2:$D$12,0))</f>
        <v/>
      </c>
      <c r="T5" s="4">
        <f>SUMIFS(Populacao!$G$2:$G$21,Populacao!$A$2:$A$21,"Manaus",Populacao!$B$2:$B$21,A5)</f>
        <v/>
      </c>
      <c r="U5" s="4">
        <f>N5*S5/T5</f>
        <v/>
      </c>
      <c r="V5" s="4">
        <f>E5*S5/T5</f>
        <v/>
      </c>
      <c r="W5" s="4">
        <f>O5*S5/T5</f>
        <v/>
      </c>
      <c r="X5" s="4">
        <f>M5*S5/T5</f>
        <v/>
      </c>
    </row>
    <row r="6">
      <c r="A6" t="n">
        <v>2020</v>
      </c>
      <c r="B6" s="3" t="n">
        <v>6010415151.64</v>
      </c>
      <c r="C6" s="3" t="n">
        <v>562948991.5699999</v>
      </c>
      <c r="D6" s="3" t="n">
        <v>800739841.22</v>
      </c>
      <c r="E6" s="3" t="n">
        <v>1375916269.53</v>
      </c>
      <c r="F6" s="3" t="n">
        <v>4031310405.89</v>
      </c>
      <c r="G6" s="3" t="n">
        <v>479923676.7</v>
      </c>
      <c r="H6" s="3" t="n">
        <v>56934892.83</v>
      </c>
      <c r="I6" s="3" t="n">
        <v>551392286.4300001</v>
      </c>
      <c r="J6" s="3" t="n">
        <v>1678096388.87</v>
      </c>
      <c r="K6" s="3" t="n">
        <v>901319077.6799999</v>
      </c>
      <c r="L6" s="3" t="n">
        <v>249674668.22</v>
      </c>
      <c r="M6" s="3" t="n">
        <v>6286835764.63</v>
      </c>
      <c r="N6" s="4">
        <f>B6-C6+D6</f>
        <v/>
      </c>
      <c r="O6" s="4">
        <f>F6-G6+H6</f>
        <v/>
      </c>
      <c r="P6" s="4">
        <f>100*O6/N6</f>
        <v/>
      </c>
      <c r="Q6" s="4">
        <f>100*E6/(B6-C6)</f>
        <v/>
      </c>
      <c r="R6" s="4">
        <f>N6-M6</f>
        <v/>
      </c>
      <c r="S6" s="4">
        <f>INDEX(IPCA!$F$2:$F$12,MATCH(A6,IPCA!$D$2:$D$12,0))</f>
        <v/>
      </c>
      <c r="T6" s="4">
        <f>SUMIFS(Populacao!$G$2:$G$21,Populacao!$A$2:$A$21,"Manaus",Populacao!$B$2:$B$21,A6)</f>
        <v/>
      </c>
      <c r="U6" s="4">
        <f>N6*S6/T6</f>
        <v/>
      </c>
      <c r="V6" s="4">
        <f>E6*S6/T6</f>
        <v/>
      </c>
      <c r="W6" s="4">
        <f>O6*S6/T6</f>
        <v/>
      </c>
      <c r="X6" s="4">
        <f>M6*S6/T6</f>
        <v/>
      </c>
    </row>
    <row r="7">
      <c r="A7" t="n">
        <v>2021</v>
      </c>
      <c r="B7" s="3" t="n">
        <v>6775675562.71</v>
      </c>
      <c r="C7" s="3" t="n">
        <v>683308307.9299999</v>
      </c>
      <c r="D7" s="3" t="n">
        <v>706988023.91</v>
      </c>
      <c r="E7" s="3" t="n">
        <v>1553570275.79</v>
      </c>
      <c r="F7" s="3" t="n">
        <v>4563084707.04</v>
      </c>
      <c r="G7" s="3" t="n">
        <v>588941981.1799999</v>
      </c>
      <c r="H7" s="3" t="n">
        <v>215583416.18</v>
      </c>
      <c r="I7" s="3" t="n">
        <v>735073896.39</v>
      </c>
      <c r="J7" s="3" t="n">
        <v>2025861448.3</v>
      </c>
      <c r="K7" s="3" t="n">
        <v>1158751899.58</v>
      </c>
      <c r="L7" s="3" t="n">
        <v>260027445.11</v>
      </c>
      <c r="M7" s="3" t="n">
        <v>6194341886.88</v>
      </c>
      <c r="N7" s="4">
        <f>B7-C7+D7</f>
        <v/>
      </c>
      <c r="O7" s="4">
        <f>F7-G7+H7</f>
        <v/>
      </c>
      <c r="P7" s="4">
        <f>100*O7/N7</f>
        <v/>
      </c>
      <c r="Q7" s="4">
        <f>100*E7/(B7-C7)</f>
        <v/>
      </c>
      <c r="R7" s="4">
        <f>N7-M7</f>
        <v/>
      </c>
      <c r="S7" s="4">
        <f>INDEX(IPCA!$F$2:$F$12,MATCH(A7,IPCA!$D$2:$D$12,0))</f>
        <v/>
      </c>
      <c r="T7" s="4">
        <f>SUMIFS(Populacao!$G$2:$G$21,Populacao!$A$2:$A$21,"Manaus",Populacao!$B$2:$B$21,A7)</f>
        <v/>
      </c>
      <c r="U7" s="4">
        <f>N7*S7/T7</f>
        <v/>
      </c>
      <c r="V7" s="4">
        <f>E7*S7/T7</f>
        <v/>
      </c>
      <c r="W7" s="4">
        <f>O7*S7/T7</f>
        <v/>
      </c>
      <c r="X7" s="4">
        <f>M7*S7/T7</f>
        <v/>
      </c>
    </row>
    <row r="8">
      <c r="A8" t="n">
        <v>2022</v>
      </c>
      <c r="B8" s="3" t="n">
        <v>8097022133.06</v>
      </c>
      <c r="C8" s="3" t="n">
        <v>773793980.5599999</v>
      </c>
      <c r="D8" s="3" t="n">
        <v>302351736.12</v>
      </c>
      <c r="E8" s="3" t="n">
        <v>1849323176.43</v>
      </c>
      <c r="F8" s="3" t="n">
        <v>5270145811.3</v>
      </c>
      <c r="G8" s="3" t="n">
        <v>656778389.6799999</v>
      </c>
      <c r="H8" s="3" t="n">
        <v>189733807.1</v>
      </c>
      <c r="I8" s="3" t="n">
        <v>974078300.37</v>
      </c>
      <c r="J8" s="3" t="n">
        <v>2145684787.99</v>
      </c>
      <c r="K8" s="3" t="n">
        <v>1366656526.73</v>
      </c>
      <c r="L8" s="3" t="n">
        <v>260926453.44</v>
      </c>
      <c r="M8" s="3" t="n">
        <v>7816691033.27</v>
      </c>
      <c r="N8" s="4">
        <f>B8-C8+D8</f>
        <v/>
      </c>
      <c r="O8" s="4">
        <f>F8-G8+H8</f>
        <v/>
      </c>
      <c r="P8" s="4">
        <f>100*O8/N8</f>
        <v/>
      </c>
      <c r="Q8" s="4">
        <f>100*E8/(B8-C8)</f>
        <v/>
      </c>
      <c r="R8" s="4">
        <f>N8-M8</f>
        <v/>
      </c>
      <c r="S8" s="4">
        <f>INDEX(IPCA!$F$2:$F$12,MATCH(A8,IPCA!$D$2:$D$12,0))</f>
        <v/>
      </c>
      <c r="T8" s="4">
        <f>SUMIFS(Populacao!$G$2:$G$21,Populacao!$A$2:$A$21,"Manaus",Populacao!$B$2:$B$21,A8)</f>
        <v/>
      </c>
      <c r="U8" s="4">
        <f>N8*S8/T8</f>
        <v/>
      </c>
      <c r="V8" s="4">
        <f>E8*S8/T8</f>
        <v/>
      </c>
      <c r="W8" s="4">
        <f>O8*S8/T8</f>
        <v/>
      </c>
      <c r="X8" s="4">
        <f>M8*S8/T8</f>
        <v/>
      </c>
    </row>
    <row r="9">
      <c r="A9" t="n">
        <v>2023</v>
      </c>
      <c r="B9" s="3" t="n">
        <v>9120857166.629999</v>
      </c>
      <c r="C9" s="3" t="n">
        <v>868674205.3</v>
      </c>
      <c r="D9" s="3" t="n">
        <v>849856637.7</v>
      </c>
      <c r="E9" s="3" t="n">
        <v>2151842755.33</v>
      </c>
      <c r="F9" s="3" t="n">
        <v>5751342499.7</v>
      </c>
      <c r="G9" s="3" t="n">
        <v>709865919.13</v>
      </c>
      <c r="H9" s="3" t="n">
        <v>58969319.04</v>
      </c>
      <c r="I9" s="3" t="n">
        <v>1022373408.2</v>
      </c>
      <c r="J9" s="3" t="n">
        <v>2226988249.56</v>
      </c>
      <c r="K9" s="3" t="n">
        <v>1356725495.15</v>
      </c>
      <c r="L9" s="3" t="n">
        <v>331220673.73</v>
      </c>
      <c r="M9" s="3" t="n">
        <v>8873145185.68</v>
      </c>
      <c r="N9" s="4">
        <f>B9-C9+D9</f>
        <v/>
      </c>
      <c r="O9" s="4">
        <f>F9-G9+H9</f>
        <v/>
      </c>
      <c r="P9" s="4">
        <f>100*O9/N9</f>
        <v/>
      </c>
      <c r="Q9" s="4">
        <f>100*E9/(B9-C9)</f>
        <v/>
      </c>
      <c r="R9" s="4">
        <f>N9-M9</f>
        <v/>
      </c>
      <c r="S9" s="4">
        <f>INDEX(IPCA!$F$2:$F$12,MATCH(A9,IPCA!$D$2:$D$12,0))</f>
        <v/>
      </c>
      <c r="T9" s="4">
        <f>SUMIFS(Populacao!$G$2:$G$21,Populacao!$A$2:$A$21,"Manaus",Populacao!$B$2:$B$21,A9)</f>
        <v/>
      </c>
      <c r="U9" s="4">
        <f>N9*S9/T9</f>
        <v/>
      </c>
      <c r="V9" s="4">
        <f>E9*S9/T9</f>
        <v/>
      </c>
      <c r="W9" s="4">
        <f>O9*S9/T9</f>
        <v/>
      </c>
      <c r="X9" s="4">
        <f>M9*S9/T9</f>
        <v/>
      </c>
    </row>
    <row r="10">
      <c r="A10" t="n">
        <v>2024</v>
      </c>
      <c r="B10" s="3" t="n">
        <v>10427319506.7</v>
      </c>
      <c r="C10" s="3" t="n">
        <v>859531533.4200001</v>
      </c>
      <c r="D10" s="3" t="n">
        <v>668814101.29</v>
      </c>
      <c r="E10" s="3" t="n">
        <v>2601630919.18</v>
      </c>
      <c r="F10" s="3" t="n">
        <v>6599380848.21</v>
      </c>
      <c r="G10" s="3" t="n">
        <v>793333908.71</v>
      </c>
      <c r="H10" s="3" t="n">
        <v>63939378.85</v>
      </c>
      <c r="I10" s="3" t="n">
        <v>1190799894.04</v>
      </c>
      <c r="J10" s="3" t="n">
        <v>2426438256.93</v>
      </c>
      <c r="K10" s="3" t="n">
        <v>1612628365.17</v>
      </c>
      <c r="L10" s="3" t="n">
        <v>559302226.9</v>
      </c>
      <c r="M10" s="3" t="n">
        <v>10303853473.17</v>
      </c>
      <c r="N10" s="4">
        <f>B10-C10+D10</f>
        <v/>
      </c>
      <c r="O10" s="4">
        <f>F10-G10+H10</f>
        <v/>
      </c>
      <c r="P10" s="4">
        <f>100*O10/N10</f>
        <v/>
      </c>
      <c r="Q10" s="4">
        <f>100*E10/(B10-C10)</f>
        <v/>
      </c>
      <c r="R10" s="4">
        <f>N10-M10</f>
        <v/>
      </c>
      <c r="S10" s="4">
        <f>INDEX(IPCA!$F$2:$F$12,MATCH(A10,IPCA!$D$2:$D$12,0))</f>
        <v/>
      </c>
      <c r="T10" s="4">
        <f>SUMIFS(Populacao!$G$2:$G$21,Populacao!$A$2:$A$21,"Manaus",Populacao!$B$2:$B$21,A10)</f>
        <v/>
      </c>
      <c r="U10" s="4">
        <f>N10*S10/T10</f>
        <v/>
      </c>
      <c r="V10" s="4">
        <f>E10*S10/T10</f>
        <v/>
      </c>
      <c r="W10" s="4">
        <f>O10*S10/T10</f>
        <v/>
      </c>
      <c r="X10" s="4">
        <f>M10*S10/T10</f>
        <v/>
      </c>
    </row>
    <row r="11">
      <c r="A11" t="n">
        <v>2025</v>
      </c>
      <c r="B11" s="3" t="n">
        <v>11323047208.17</v>
      </c>
      <c r="C11" s="3" t="n">
        <v>951536293.46</v>
      </c>
      <c r="D11" s="3" t="n">
        <v>588895176.95</v>
      </c>
      <c r="E11" s="3" t="n">
        <v>2907851456.84</v>
      </c>
      <c r="F11" s="3" t="n">
        <v>7111747392.58</v>
      </c>
      <c r="G11" s="3" t="n">
        <v>886414098.1799999</v>
      </c>
      <c r="H11" s="3" t="n">
        <v>85775422.70999999</v>
      </c>
      <c r="I11" s="3" t="n">
        <v>1456456850.72</v>
      </c>
      <c r="J11" s="3" t="n">
        <v>2625546504.16</v>
      </c>
      <c r="K11" s="3" t="n">
        <v>1713542052.85</v>
      </c>
      <c r="L11" s="3" t="n">
        <v>510947053.27</v>
      </c>
      <c r="M11" s="3" t="n">
        <v>10706228385.49</v>
      </c>
      <c r="N11" s="4">
        <f>B11-C11+D11</f>
        <v/>
      </c>
      <c r="O11" s="4">
        <f>F11-G11+H11</f>
        <v/>
      </c>
      <c r="P11" s="4">
        <f>100*O11/N11</f>
        <v/>
      </c>
      <c r="Q11" s="4">
        <f>100*E11/(B11-C11)</f>
        <v/>
      </c>
      <c r="R11" s="4">
        <f>N11-M11</f>
        <v/>
      </c>
      <c r="S11" s="4">
        <f>INDEX(IPCA!$F$2:$F$12,MATCH(A11,IPCA!$D$2:$D$12,0))</f>
        <v/>
      </c>
      <c r="T11" s="4">
        <f>SUMIFS(Populacao!$G$2:$G$21,Populacao!$A$2:$A$21,"Manaus",Populacao!$B$2:$B$21,A11)</f>
        <v/>
      </c>
      <c r="U11" s="4">
        <f>N11*S11/T11</f>
        <v/>
      </c>
      <c r="V11" s="4">
        <f>E11*S11/T11</f>
        <v/>
      </c>
      <c r="W11" s="4">
        <f>O11*S11/T11</f>
        <v/>
      </c>
      <c r="X11" s="4">
        <f>M11*S11/T11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45" customHeight="1">
      <c r="A1" s="1" t="inlineStr">
        <is>
          <t>Ano</t>
        </is>
      </c>
      <c r="B1" s="1" t="inlineStr">
        <is>
          <t>Receita corrente bruta (1.0)</t>
        </is>
      </c>
      <c r="C1" s="1" t="inlineStr">
        <is>
          <t>Deduções da receita corrente (FUNDEB e outras)</t>
        </is>
      </c>
      <c r="D1" s="1" t="inlineStr">
        <is>
          <t>Receita de capital (2.0)</t>
        </is>
      </c>
      <c r="E1" s="1" t="inlineStr">
        <is>
          <t>Receita tributária (1.1)</t>
        </is>
      </c>
      <c r="F1" s="1" t="inlineStr">
        <is>
          <t>Transferências correntes brutas (1.7)</t>
        </is>
      </c>
      <c r="G1" s="1" t="inlineStr">
        <is>
          <t>Deduções sobre transf. correntes</t>
        </is>
      </c>
      <c r="H1" s="1" t="inlineStr">
        <is>
          <t>Transferências de capital (2.4)</t>
        </is>
      </c>
      <c r="I1" s="1" t="inlineStr">
        <is>
          <t>FPM</t>
        </is>
      </c>
      <c r="J1" s="1" t="inlineStr">
        <is>
          <t>Cota-parte ICMS</t>
        </is>
      </c>
      <c r="K1" s="1" t="inlineStr">
        <is>
          <t>FUNDEB recebido</t>
        </is>
      </c>
      <c r="L1" s="1" t="inlineStr">
        <is>
          <t>SUS corrente</t>
        </is>
      </c>
      <c r="M1" s="1" t="inlineStr">
        <is>
          <t>Despesa empenhada exceto intra</t>
        </is>
      </c>
      <c r="N1" s="1" t="inlineStr">
        <is>
          <t>Receita total líquida</t>
        </is>
      </c>
      <c r="O1" s="1" t="inlineStr">
        <is>
          <t>Transferências líquidas</t>
        </is>
      </c>
      <c r="P1" s="1" t="inlineStr">
        <is>
          <t>Dependência (%)</t>
        </is>
      </c>
      <c r="Q1" s="1" t="inlineStr">
        <is>
          <t>Autonomia tributária (%)</t>
        </is>
      </c>
      <c r="R1" s="1" t="inlineStr">
        <is>
          <t>Resultado orçamentário (R$)</t>
        </is>
      </c>
      <c r="S1" s="1" t="inlineStr">
        <is>
          <t>Fator IPCA (R$ 2025)</t>
        </is>
      </c>
      <c r="T1" s="1" t="inlineStr">
        <is>
          <t>População harmonizada</t>
        </is>
      </c>
      <c r="U1" s="1" t="inlineStr">
        <is>
          <t>Receita total líquida real pc</t>
        </is>
      </c>
      <c r="V1" s="1" t="inlineStr">
        <is>
          <t>Receita tributária real pc</t>
        </is>
      </c>
      <c r="W1" s="1" t="inlineStr">
        <is>
          <t>Transferências líquidas reais pc</t>
        </is>
      </c>
      <c r="X1" s="1" t="inlineStr">
        <is>
          <t>Despesa real pc</t>
        </is>
      </c>
    </row>
    <row r="2">
      <c r="A2" t="n">
        <v>2016</v>
      </c>
      <c r="B2" t="inlineStr">
        <is>
          <t>sem DCA no Siconfi (ausente)</t>
        </is>
      </c>
    </row>
    <row r="3">
      <c r="A3" t="n">
        <v>2017</v>
      </c>
      <c r="B3" s="3" t="n">
        <v>182238216.35</v>
      </c>
      <c r="C3" s="3" t="n">
        <v>12441771.82</v>
      </c>
      <c r="D3" s="3" t="n">
        <v>528196.54</v>
      </c>
      <c r="E3" s="3" t="n">
        <v>11149610.02</v>
      </c>
      <c r="F3" s="3" t="n">
        <v>164321961.67</v>
      </c>
      <c r="G3" s="3" t="n">
        <v>12441771.82</v>
      </c>
      <c r="H3" s="3" t="n">
        <v>528196.54</v>
      </c>
      <c r="I3" s="3" t="n">
        <v>36670204.39000001</v>
      </c>
      <c r="J3" s="3" t="n">
        <v>27609816.88</v>
      </c>
      <c r="K3" s="3" t="n">
        <v>67080500.2</v>
      </c>
      <c r="L3" s="3" t="n">
        <v>22513012.79</v>
      </c>
      <c r="M3" s="3" t="n">
        <v>180031384.1</v>
      </c>
      <c r="N3" s="4">
        <f>B3-C3+D3</f>
        <v/>
      </c>
      <c r="O3" s="4">
        <f>F3-G3+H3</f>
        <v/>
      </c>
      <c r="P3" s="4">
        <f>100*O3/N3</f>
        <v/>
      </c>
      <c r="Q3" s="4">
        <f>100*E3/(B3-C3)</f>
        <v/>
      </c>
      <c r="R3" s="4">
        <f>N3-M3</f>
        <v/>
      </c>
      <c r="S3" s="4">
        <f>INDEX(IPCA!$F$2:$F$12,MATCH(A3,IPCA!$D$2:$D$12,0))</f>
        <v/>
      </c>
      <c r="T3" s="4">
        <f>SUMIFS(Populacao!$G$2:$G$21,Populacao!$A$2:$A$21,"Parintins",Populacao!$B$2:$B$21,A3)</f>
        <v/>
      </c>
      <c r="U3" s="4">
        <f>N3*S3/T3</f>
        <v/>
      </c>
      <c r="V3" s="4">
        <f>E3*S3/T3</f>
        <v/>
      </c>
      <c r="W3" s="4">
        <f>O3*S3/T3</f>
        <v/>
      </c>
      <c r="X3" s="4">
        <f>M3*S3/T3</f>
        <v/>
      </c>
    </row>
    <row r="4">
      <c r="A4" t="n">
        <v>2018</v>
      </c>
      <c r="B4" s="3" t="n">
        <v>210686139.74</v>
      </c>
      <c r="C4" s="3" t="n">
        <v>13491024.63</v>
      </c>
      <c r="D4" s="3" t="n">
        <v>12561287.78</v>
      </c>
      <c r="E4" s="3" t="n">
        <v>10422996.81</v>
      </c>
      <c r="F4" s="3" t="n">
        <v>187731017.09</v>
      </c>
      <c r="G4" s="3" t="n">
        <v>13491024.63</v>
      </c>
      <c r="H4" s="3" t="n">
        <v>12447962.78</v>
      </c>
      <c r="I4" s="3" t="n">
        <v>37058448.35</v>
      </c>
      <c r="J4" s="3" t="n">
        <v>30976279.47</v>
      </c>
      <c r="K4" s="3" t="n">
        <v>67222985.16</v>
      </c>
      <c r="L4" s="3" t="n">
        <v>24934866.35</v>
      </c>
      <c r="M4" s="3" t="n">
        <v>211645827.98</v>
      </c>
      <c r="N4" s="4">
        <f>B4-C4+D4</f>
        <v/>
      </c>
      <c r="O4" s="4">
        <f>F4-G4+H4</f>
        <v/>
      </c>
      <c r="P4" s="4">
        <f>100*O4/N4</f>
        <v/>
      </c>
      <c r="Q4" s="4">
        <f>100*E4/(B4-C4)</f>
        <v/>
      </c>
      <c r="R4" s="4">
        <f>N4-M4</f>
        <v/>
      </c>
      <c r="S4" s="4">
        <f>INDEX(IPCA!$F$2:$F$12,MATCH(A4,IPCA!$D$2:$D$12,0))</f>
        <v/>
      </c>
      <c r="T4" s="4">
        <f>SUMIFS(Populacao!$G$2:$G$21,Populacao!$A$2:$A$21,"Parintins",Populacao!$B$2:$B$21,A4)</f>
        <v/>
      </c>
      <c r="U4" s="4">
        <f>N4*S4/T4</f>
        <v/>
      </c>
      <c r="V4" s="4">
        <f>E4*S4/T4</f>
        <v/>
      </c>
      <c r="W4" s="4">
        <f>O4*S4/T4</f>
        <v/>
      </c>
      <c r="X4" s="4">
        <f>M4*S4/T4</f>
        <v/>
      </c>
    </row>
    <row r="5">
      <c r="A5" t="n">
        <v>2019</v>
      </c>
      <c r="B5" s="3" t="n">
        <v>215924486.77</v>
      </c>
      <c r="C5" s="3" t="n">
        <v>14791396.48</v>
      </c>
      <c r="D5" s="3" t="n">
        <v>9095328.550000001</v>
      </c>
      <c r="E5" s="3" t="n">
        <v>10965989.81</v>
      </c>
      <c r="F5" s="3" t="n">
        <v>196165594.03</v>
      </c>
      <c r="G5" s="3" t="n">
        <v>14791396.48</v>
      </c>
      <c r="H5" s="3" t="n">
        <v>9095328.550000001</v>
      </c>
      <c r="I5" s="3" t="n">
        <v>40267615.66</v>
      </c>
      <c r="J5" s="3" t="n">
        <v>34359030.29</v>
      </c>
      <c r="K5" s="3" t="n">
        <v>70168192.53999999</v>
      </c>
      <c r="L5" s="3" t="n">
        <v>26538868.65</v>
      </c>
      <c r="M5" s="3" t="n">
        <v>209159380.94</v>
      </c>
      <c r="N5" s="4">
        <f>B5-C5+D5</f>
        <v/>
      </c>
      <c r="O5" s="4">
        <f>F5-G5+H5</f>
        <v/>
      </c>
      <c r="P5" s="4">
        <f>100*O5/N5</f>
        <v/>
      </c>
      <c r="Q5" s="4">
        <f>100*E5/(B5-C5)</f>
        <v/>
      </c>
      <c r="R5" s="4">
        <f>N5-M5</f>
        <v/>
      </c>
      <c r="S5" s="4">
        <f>INDEX(IPCA!$F$2:$F$12,MATCH(A5,IPCA!$D$2:$D$12,0))</f>
        <v/>
      </c>
      <c r="T5" s="4">
        <f>SUMIFS(Populacao!$G$2:$G$21,Populacao!$A$2:$A$21,"Parintins",Populacao!$B$2:$B$21,A5)</f>
        <v/>
      </c>
      <c r="U5" s="4">
        <f>N5*S5/T5</f>
        <v/>
      </c>
      <c r="V5" s="4">
        <f>E5*S5/T5</f>
        <v/>
      </c>
      <c r="W5" s="4">
        <f>O5*S5/T5</f>
        <v/>
      </c>
      <c r="X5" s="4">
        <f>M5*S5/T5</f>
        <v/>
      </c>
    </row>
    <row r="6">
      <c r="A6" t="n">
        <v>2020</v>
      </c>
      <c r="B6" s="3" t="n">
        <v>267820362.28</v>
      </c>
      <c r="C6" s="3" t="n">
        <v>14792084.63</v>
      </c>
      <c r="D6" s="3" t="n">
        <v>18818277.25</v>
      </c>
      <c r="E6" s="3" t="n">
        <v>11689596.82</v>
      </c>
      <c r="F6" s="3" t="n">
        <v>247280979.82</v>
      </c>
      <c r="G6" s="3" t="n">
        <v>14792084.63</v>
      </c>
      <c r="H6" s="3" t="n">
        <v>18818277.25</v>
      </c>
      <c r="I6" s="3" t="n">
        <v>38284079.17</v>
      </c>
      <c r="J6" s="3" t="n">
        <v>36405731.32</v>
      </c>
      <c r="K6" s="3" t="n">
        <v>68339680.34999999</v>
      </c>
      <c r="L6" s="3" t="n">
        <v>68849863.19</v>
      </c>
      <c r="M6" s="3" t="n">
        <v>271782916.38</v>
      </c>
      <c r="N6" s="4">
        <f>B6-C6+D6</f>
        <v/>
      </c>
      <c r="O6" s="4">
        <f>F6-G6+H6</f>
        <v/>
      </c>
      <c r="P6" s="4">
        <f>100*O6/N6</f>
        <v/>
      </c>
      <c r="Q6" s="4">
        <f>100*E6/(B6-C6)</f>
        <v/>
      </c>
      <c r="R6" s="4">
        <f>N6-M6</f>
        <v/>
      </c>
      <c r="S6" s="4">
        <f>INDEX(IPCA!$F$2:$F$12,MATCH(A6,IPCA!$D$2:$D$12,0))</f>
        <v/>
      </c>
      <c r="T6" s="4">
        <f>SUMIFS(Populacao!$G$2:$G$21,Populacao!$A$2:$A$21,"Parintins",Populacao!$B$2:$B$21,A6)</f>
        <v/>
      </c>
      <c r="U6" s="4">
        <f>N6*S6/T6</f>
        <v/>
      </c>
      <c r="V6" s="4">
        <f>E6*S6/T6</f>
        <v/>
      </c>
      <c r="W6" s="4">
        <f>O6*S6/T6</f>
        <v/>
      </c>
      <c r="X6" s="4">
        <f>M6*S6/T6</f>
        <v/>
      </c>
    </row>
    <row r="7">
      <c r="A7" t="n">
        <v>2021</v>
      </c>
      <c r="B7" s="3" t="n">
        <v>307049617.93</v>
      </c>
      <c r="C7" s="3" t="n">
        <v>19277528.58</v>
      </c>
      <c r="D7" s="3" t="n">
        <v>28895858.42</v>
      </c>
      <c r="E7" s="3" t="n">
        <v>18089002.75</v>
      </c>
      <c r="F7" s="3" t="n">
        <v>279522031.02</v>
      </c>
      <c r="G7" s="3" t="n">
        <v>19277528.58</v>
      </c>
      <c r="H7" s="3" t="n">
        <v>28895858.42</v>
      </c>
      <c r="I7" s="3" t="n">
        <v>53455159.92</v>
      </c>
      <c r="J7" s="3" t="n">
        <v>43950376.24</v>
      </c>
      <c r="K7" s="3" t="n">
        <v>99290152.29000001</v>
      </c>
      <c r="L7" s="3" t="n">
        <v>68025941.39</v>
      </c>
      <c r="M7" s="3" t="n">
        <v>306217125.29</v>
      </c>
      <c r="N7" s="4">
        <f>B7-C7+D7</f>
        <v/>
      </c>
      <c r="O7" s="4">
        <f>F7-G7+H7</f>
        <v/>
      </c>
      <c r="P7" s="4">
        <f>100*O7/N7</f>
        <v/>
      </c>
      <c r="Q7" s="4">
        <f>100*E7/(B7-C7)</f>
        <v/>
      </c>
      <c r="R7" s="4">
        <f>N7-M7</f>
        <v/>
      </c>
      <c r="S7" s="4">
        <f>INDEX(IPCA!$F$2:$F$12,MATCH(A7,IPCA!$D$2:$D$12,0))</f>
        <v/>
      </c>
      <c r="T7" s="4">
        <f>SUMIFS(Populacao!$G$2:$G$21,Populacao!$A$2:$A$21,"Parintins",Populacao!$B$2:$B$21,A7)</f>
        <v/>
      </c>
      <c r="U7" s="4">
        <f>N7*S7/T7</f>
        <v/>
      </c>
      <c r="V7" s="4">
        <f>E7*S7/T7</f>
        <v/>
      </c>
      <c r="W7" s="4">
        <f>O7*S7/T7</f>
        <v/>
      </c>
      <c r="X7" s="4">
        <f>M7*S7/T7</f>
        <v/>
      </c>
    </row>
    <row r="8">
      <c r="A8" t="n">
        <v>2022</v>
      </c>
      <c r="B8" s="3" t="n">
        <v>360095726.82</v>
      </c>
      <c r="C8" s="3" t="n">
        <v>21993761.08</v>
      </c>
      <c r="D8" s="3" t="n">
        <v>20400760.4</v>
      </c>
      <c r="E8" s="3" t="n">
        <v>21815603.23</v>
      </c>
      <c r="F8" s="3" t="n">
        <v>321586100.82</v>
      </c>
      <c r="G8" s="3" t="n">
        <v>21993761.08</v>
      </c>
      <c r="H8" s="3" t="n">
        <v>20400760.4</v>
      </c>
      <c r="I8" s="3" t="n">
        <v>67807970.42</v>
      </c>
      <c r="J8" s="3" t="n">
        <v>46549902.94</v>
      </c>
      <c r="K8" s="3" t="n">
        <v>123009713.43</v>
      </c>
      <c r="L8" s="3" t="n">
        <v>53172260.27</v>
      </c>
      <c r="M8" s="3" t="n">
        <v>374971703.95</v>
      </c>
      <c r="N8" s="4">
        <f>B8-C8+D8</f>
        <v/>
      </c>
      <c r="O8" s="4">
        <f>F8-G8+H8</f>
        <v/>
      </c>
      <c r="P8" s="4">
        <f>100*O8/N8</f>
        <v/>
      </c>
      <c r="Q8" s="4">
        <f>100*E8/(B8-C8)</f>
        <v/>
      </c>
      <c r="R8" s="4">
        <f>N8-M8</f>
        <v/>
      </c>
      <c r="S8" s="4">
        <f>INDEX(IPCA!$F$2:$F$12,MATCH(A8,IPCA!$D$2:$D$12,0))</f>
        <v/>
      </c>
      <c r="T8" s="4">
        <f>SUMIFS(Populacao!$G$2:$G$21,Populacao!$A$2:$A$21,"Parintins",Populacao!$B$2:$B$21,A8)</f>
        <v/>
      </c>
      <c r="U8" s="4">
        <f>N8*S8/T8</f>
        <v/>
      </c>
      <c r="V8" s="4">
        <f>E8*S8/T8</f>
        <v/>
      </c>
      <c r="W8" s="4">
        <f>O8*S8/T8</f>
        <v/>
      </c>
      <c r="X8" s="4">
        <f>M8*S8/T8</f>
        <v/>
      </c>
    </row>
    <row r="9">
      <c r="A9" t="n">
        <v>2023</v>
      </c>
      <c r="B9" s="3" t="n">
        <v>449603655.14</v>
      </c>
      <c r="C9" s="3" t="n">
        <v>28016094.68</v>
      </c>
      <c r="D9" s="3" t="n">
        <v>19078594.36</v>
      </c>
      <c r="E9" s="3" t="n">
        <v>23994350.59</v>
      </c>
      <c r="F9" s="3" t="n">
        <v>407868065.96</v>
      </c>
      <c r="G9" s="3" t="n">
        <v>28016094.68</v>
      </c>
      <c r="H9" s="3" t="n">
        <v>19078594.36</v>
      </c>
      <c r="I9" s="3" t="n">
        <v>100326873.99</v>
      </c>
      <c r="J9" s="3" t="n">
        <v>48313753.9</v>
      </c>
      <c r="K9" s="3" t="n">
        <v>128462124.2</v>
      </c>
      <c r="L9" s="3" t="n">
        <v>72538714.71000001</v>
      </c>
      <c r="M9" s="3" t="n">
        <v>414065367.53</v>
      </c>
      <c r="N9" s="4">
        <f>B9-C9+D9</f>
        <v/>
      </c>
      <c r="O9" s="4">
        <f>F9-G9+H9</f>
        <v/>
      </c>
      <c r="P9" s="4">
        <f>100*O9/N9</f>
        <v/>
      </c>
      <c r="Q9" s="4">
        <f>100*E9/(B9-C9)</f>
        <v/>
      </c>
      <c r="R9" s="4">
        <f>N9-M9</f>
        <v/>
      </c>
      <c r="S9" s="4">
        <f>INDEX(IPCA!$F$2:$F$12,MATCH(A9,IPCA!$D$2:$D$12,0))</f>
        <v/>
      </c>
      <c r="T9" s="4">
        <f>SUMIFS(Populacao!$G$2:$G$21,Populacao!$A$2:$A$21,"Parintins",Populacao!$B$2:$B$21,A9)</f>
        <v/>
      </c>
      <c r="U9" s="4">
        <f>N9*S9/T9</f>
        <v/>
      </c>
      <c r="V9" s="4">
        <f>E9*S9/T9</f>
        <v/>
      </c>
      <c r="W9" s="4">
        <f>O9*S9/T9</f>
        <v/>
      </c>
      <c r="X9" s="4">
        <f>M9*S9/T9</f>
        <v/>
      </c>
    </row>
    <row r="10">
      <c r="A10" t="n">
        <v>2024</v>
      </c>
      <c r="B10" s="3" t="n">
        <v>566808292.87</v>
      </c>
      <c r="C10" s="3" t="n">
        <v>33891123.12</v>
      </c>
      <c r="D10" s="3" t="n">
        <v>55319889.95</v>
      </c>
      <c r="E10" s="3" t="n">
        <v>29754012.39</v>
      </c>
      <c r="F10" s="3" t="n">
        <v>484121740.32</v>
      </c>
      <c r="G10" s="3" t="n">
        <v>33891123.12</v>
      </c>
      <c r="H10" s="3" t="n">
        <v>55319889.95</v>
      </c>
      <c r="I10" s="3" t="n">
        <v>125765005.05</v>
      </c>
      <c r="J10" s="3" t="n">
        <v>52640753.99</v>
      </c>
      <c r="K10" s="3" t="n">
        <v>157776712.34</v>
      </c>
      <c r="L10" s="3" t="n">
        <v>106429485.08</v>
      </c>
      <c r="M10" s="3" t="n">
        <v>604566902.98</v>
      </c>
      <c r="N10" s="4">
        <f>B10-C10+D10</f>
        <v/>
      </c>
      <c r="O10" s="4">
        <f>F10-G10+H10</f>
        <v/>
      </c>
      <c r="P10" s="4">
        <f>100*O10/N10</f>
        <v/>
      </c>
      <c r="Q10" s="4">
        <f>100*E10/(B10-C10)</f>
        <v/>
      </c>
      <c r="R10" s="4">
        <f>N10-M10</f>
        <v/>
      </c>
      <c r="S10" s="4">
        <f>INDEX(IPCA!$F$2:$F$12,MATCH(A10,IPCA!$D$2:$D$12,0))</f>
        <v/>
      </c>
      <c r="T10" s="4">
        <f>SUMIFS(Populacao!$G$2:$G$21,Populacao!$A$2:$A$21,"Parintins",Populacao!$B$2:$B$21,A10)</f>
        <v/>
      </c>
      <c r="U10" s="4">
        <f>N10*S10/T10</f>
        <v/>
      </c>
      <c r="V10" s="4">
        <f>E10*S10/T10</f>
        <v/>
      </c>
      <c r="W10" s="4">
        <f>O10*S10/T10</f>
        <v/>
      </c>
      <c r="X10" s="4">
        <f>M10*S10/T10</f>
        <v/>
      </c>
    </row>
    <row r="11">
      <c r="A11" t="n">
        <v>2025</v>
      </c>
      <c r="B11" s="3" t="n">
        <v>627042372.91</v>
      </c>
      <c r="C11" s="3" t="n">
        <v>34633149.59</v>
      </c>
      <c r="D11" s="3" t="n">
        <v>121127979.77</v>
      </c>
      <c r="E11" s="3" t="n">
        <v>35757633.68</v>
      </c>
      <c r="F11" s="3" t="n">
        <v>546090236.89</v>
      </c>
      <c r="G11" s="3" t="n">
        <v>34633149.59</v>
      </c>
      <c r="H11" s="3" t="n">
        <v>121127979.77</v>
      </c>
      <c r="I11" s="3" t="n">
        <v>127406955.61</v>
      </c>
      <c r="J11" s="3" t="n">
        <v>56960339.83</v>
      </c>
      <c r="K11" s="3" t="n">
        <v>171750323.3</v>
      </c>
      <c r="L11" s="3" t="n">
        <v>137901995.23</v>
      </c>
      <c r="M11" s="3" t="n">
        <v>655921990.02</v>
      </c>
      <c r="N11" s="4">
        <f>B11-C11+D11</f>
        <v/>
      </c>
      <c r="O11" s="4">
        <f>F11-G11+H11</f>
        <v/>
      </c>
      <c r="P11" s="4">
        <f>100*O11/N11</f>
        <v/>
      </c>
      <c r="Q11" s="4">
        <f>100*E11/(B11-C11)</f>
        <v/>
      </c>
      <c r="R11" s="4">
        <f>N11-M11</f>
        <v/>
      </c>
      <c r="S11" s="4">
        <f>INDEX(IPCA!$F$2:$F$12,MATCH(A11,IPCA!$D$2:$D$12,0))</f>
        <v/>
      </c>
      <c r="T11" s="4">
        <f>SUMIFS(Populacao!$G$2:$G$21,Populacao!$A$2:$A$21,"Parintins",Populacao!$B$2:$B$21,A11)</f>
        <v/>
      </c>
      <c r="U11" s="4">
        <f>N11*S11/T11</f>
        <v/>
      </c>
      <c r="V11" s="4">
        <f>E11*S11/T11</f>
        <v/>
      </c>
      <c r="W11" s="4">
        <f>O11*S11/T11</f>
        <v/>
      </c>
      <c r="X11" s="4">
        <f>M11*S11/T11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5" customHeight="1">
      <c r="A1" s="1" t="inlineStr">
        <is>
          <t>Município</t>
        </is>
      </c>
      <c r="B1" s="1" t="inlineStr">
        <is>
          <t>Ano</t>
        </is>
      </c>
      <c r="C1" s="1" t="inlineStr">
        <is>
          <t>Dependência % (planilha)</t>
        </is>
      </c>
      <c r="D1" s="1" t="inlineStr">
        <is>
          <t>Dependência % (Python)</t>
        </is>
      </c>
      <c r="E1" s="1" t="inlineStr">
        <is>
          <t>Despesa real pc (planilha)</t>
        </is>
      </c>
      <c r="F1" s="1" t="inlineStr">
        <is>
          <t>Despesa real pc (Python)</t>
        </is>
      </c>
      <c r="G1" s="1" t="inlineStr">
        <is>
          <t>Diferença desp. pc</t>
        </is>
      </c>
    </row>
    <row r="2">
      <c r="A2" t="inlineStr">
        <is>
          <t>Manaus</t>
        </is>
      </c>
      <c r="B2" t="n">
        <v>2016</v>
      </c>
      <c r="C2">
        <f>'Manaus'!P2</f>
        <v/>
      </c>
      <c r="D2" t="n">
        <v>52.6562244396792</v>
      </c>
      <c r="E2">
        <f>'Manaus'!X2</f>
        <v/>
      </c>
      <c r="F2" t="n">
        <v>3382.638980260613</v>
      </c>
      <c r="G2">
        <f>E2-F2</f>
        <v/>
      </c>
    </row>
    <row r="3">
      <c r="A3" t="inlineStr">
        <is>
          <t>Manaus</t>
        </is>
      </c>
      <c r="B3" t="n">
        <v>2017</v>
      </c>
      <c r="C3">
        <f>'Manaus'!P3</f>
        <v/>
      </c>
      <c r="D3" t="n">
        <v>62.85859083169031</v>
      </c>
      <c r="E3">
        <f>'Manaus'!X3</f>
        <v/>
      </c>
      <c r="F3" t="n">
        <v>3252.928800507155</v>
      </c>
      <c r="G3">
        <f>E3-F3</f>
        <v/>
      </c>
    </row>
    <row r="4">
      <c r="A4" t="inlineStr">
        <is>
          <t>Manaus</t>
        </is>
      </c>
      <c r="B4" t="n">
        <v>2018</v>
      </c>
      <c r="C4">
        <f>'Manaus'!P4</f>
        <v/>
      </c>
      <c r="D4" t="n">
        <v>60.29773038637683</v>
      </c>
      <c r="E4">
        <f>'Manaus'!X4</f>
        <v/>
      </c>
      <c r="F4" t="n">
        <v>3391.497452519388</v>
      </c>
      <c r="G4">
        <f>E4-F4</f>
        <v/>
      </c>
    </row>
    <row r="5">
      <c r="A5" t="inlineStr">
        <is>
          <t>Manaus</t>
        </is>
      </c>
      <c r="B5" t="n">
        <v>2019</v>
      </c>
      <c r="C5">
        <f>'Manaus'!P5</f>
        <v/>
      </c>
      <c r="D5" t="n">
        <v>56.36796211859249</v>
      </c>
      <c r="E5">
        <f>'Manaus'!X5</f>
        <v/>
      </c>
      <c r="F5" t="n">
        <v>3826.817469125304</v>
      </c>
      <c r="G5">
        <f>E5-F5</f>
        <v/>
      </c>
    </row>
    <row r="6">
      <c r="A6" t="inlineStr">
        <is>
          <t>Manaus</t>
        </is>
      </c>
      <c r="B6" t="n">
        <v>2020</v>
      </c>
      <c r="C6">
        <f>'Manaus'!P6</f>
        <v/>
      </c>
      <c r="D6" t="n">
        <v>57.74972242072409</v>
      </c>
      <c r="E6">
        <f>'Manaus'!X6</f>
        <v/>
      </c>
      <c r="F6" t="n">
        <v>4231.711663791364</v>
      </c>
      <c r="G6">
        <f>E6-F6</f>
        <v/>
      </c>
    </row>
    <row r="7">
      <c r="A7" t="inlineStr">
        <is>
          <t>Manaus</t>
        </is>
      </c>
      <c r="B7" t="n">
        <v>2021</v>
      </c>
      <c r="C7">
        <f>'Manaus'!P7</f>
        <v/>
      </c>
      <c r="D7" t="n">
        <v>61.61946199768538</v>
      </c>
      <c r="E7">
        <f>'Manaus'!X7</f>
        <v/>
      </c>
      <c r="F7" t="n">
        <v>3806.595833995695</v>
      </c>
      <c r="G7">
        <f>E7-F7</f>
        <v/>
      </c>
    </row>
    <row r="8">
      <c r="A8" t="inlineStr">
        <is>
          <t>Manaus</t>
        </is>
      </c>
      <c r="B8" t="n">
        <v>2022</v>
      </c>
      <c r="C8">
        <f>'Manaus'!P8</f>
        <v/>
      </c>
      <c r="D8" t="n">
        <v>62.98670132468073</v>
      </c>
      <c r="E8">
        <f>'Manaus'!X8</f>
        <v/>
      </c>
      <c r="F8" t="n">
        <v>4342.175476382094</v>
      </c>
      <c r="G8">
        <f>E8-F8</f>
        <v/>
      </c>
    </row>
    <row r="9">
      <c r="A9" t="inlineStr">
        <is>
          <t>Manaus</t>
        </is>
      </c>
      <c r="B9" t="n">
        <v>2023</v>
      </c>
      <c r="C9">
        <f>'Manaus'!P9</f>
        <v/>
      </c>
      <c r="D9" t="n">
        <v>56.03629652581991</v>
      </c>
      <c r="E9">
        <f>'Manaus'!X9</f>
        <v/>
      </c>
      <c r="F9" t="n">
        <v>4493.46576052543</v>
      </c>
      <c r="G9">
        <f>E9-F9</f>
        <v/>
      </c>
    </row>
    <row r="10">
      <c r="A10" t="inlineStr">
        <is>
          <t>Manaus</t>
        </is>
      </c>
      <c r="B10" t="n">
        <v>2024</v>
      </c>
      <c r="C10">
        <f>'Manaus'!P10</f>
        <v/>
      </c>
      <c r="D10" t="n">
        <v>57.34311322828846</v>
      </c>
      <c r="E10">
        <f>'Manaus'!X10</f>
        <v/>
      </c>
      <c r="F10" t="n">
        <v>4746.606475797976</v>
      </c>
      <c r="G10">
        <f>E10-F10</f>
        <v/>
      </c>
    </row>
    <row r="11">
      <c r="A11" t="inlineStr">
        <is>
          <t>Manaus</t>
        </is>
      </c>
      <c r="B11" t="n">
        <v>2025</v>
      </c>
      <c r="C11">
        <f>'Manaus'!P11</f>
        <v/>
      </c>
      <c r="D11" t="n">
        <v>57.58097523331961</v>
      </c>
      <c r="E11">
        <f>'Manaus'!X11</f>
        <v/>
      </c>
      <c r="F11" t="n">
        <v>4647.341090669401</v>
      </c>
      <c r="G11">
        <f>E11-F11</f>
        <v/>
      </c>
    </row>
    <row r="12">
      <c r="A12" t="inlineStr">
        <is>
          <t>Parintins</t>
        </is>
      </c>
      <c r="B12" t="n">
        <v>2017</v>
      </c>
      <c r="C12">
        <f>'Parintins'!P3</f>
        <v/>
      </c>
      <c r="D12" t="n">
        <v>89.48111408458111</v>
      </c>
      <c r="E12">
        <f>'Parintins'!X3</f>
        <v/>
      </c>
      <c r="F12" t="n">
        <v>2745.852214435817</v>
      </c>
      <c r="G12">
        <f>E12-F12</f>
        <v/>
      </c>
    </row>
    <row r="13">
      <c r="A13" t="inlineStr">
        <is>
          <t>Parintins</t>
        </is>
      </c>
      <c r="B13" t="n">
        <v>2018</v>
      </c>
      <c r="C13">
        <f>'Parintins'!P4</f>
        <v/>
      </c>
      <c r="D13" t="n">
        <v>89.0022677104653</v>
      </c>
      <c r="E13">
        <f>'Parintins'!X4</f>
        <v/>
      </c>
      <c r="F13" t="n">
        <v>3128.780255949373</v>
      </c>
      <c r="G13">
        <f>E13-F13</f>
        <v/>
      </c>
    </row>
    <row r="14">
      <c r="A14" t="inlineStr">
        <is>
          <t>Parintins</t>
        </is>
      </c>
      <c r="B14" t="n">
        <v>2019</v>
      </c>
      <c r="C14">
        <f>'Parintins'!P5</f>
        <v/>
      </c>
      <c r="D14" t="n">
        <v>90.60122658533713</v>
      </c>
      <c r="E14">
        <f>'Parintins'!X5</f>
        <v/>
      </c>
      <c r="F14" t="n">
        <v>2994.955454081002</v>
      </c>
      <c r="G14">
        <f>E14-F14</f>
        <v/>
      </c>
    </row>
    <row r="15">
      <c r="A15" t="inlineStr">
        <is>
          <t>Parintins</t>
        </is>
      </c>
      <c r="B15" t="n">
        <v>2020</v>
      </c>
      <c r="C15">
        <f>'Parintins'!P6</f>
        <v/>
      </c>
      <c r="D15" t="n">
        <v>92.44449411266018</v>
      </c>
      <c r="E15">
        <f>'Parintins'!X6</f>
        <v/>
      </c>
      <c r="F15" t="n">
        <v>3788.535846063746</v>
      </c>
      <c r="G15">
        <f>E15-F15</f>
        <v/>
      </c>
    </row>
    <row r="16">
      <c r="A16" t="inlineStr">
        <is>
          <t>Parintins</t>
        </is>
      </c>
      <c r="B16" t="n">
        <v>2021</v>
      </c>
      <c r="C16">
        <f>'Parintins'!P7</f>
        <v/>
      </c>
      <c r="D16" t="n">
        <v>91.30711298574693</v>
      </c>
      <c r="E16">
        <f>'Parintins'!X7</f>
        <v/>
      </c>
      <c r="F16" t="n">
        <v>3960.134685417561</v>
      </c>
      <c r="G16">
        <f>E16-F16</f>
        <v/>
      </c>
    </row>
    <row r="17">
      <c r="A17" t="inlineStr">
        <is>
          <t>Parintins</t>
        </is>
      </c>
      <c r="B17" t="n">
        <v>2022</v>
      </c>
      <c r="C17">
        <f>'Parintins'!P8</f>
        <v/>
      </c>
      <c r="D17" t="n">
        <v>89.2582055331536</v>
      </c>
      <c r="E17">
        <f>'Parintins'!X8</f>
        <v/>
      </c>
      <c r="F17" t="n">
        <v>4460.425579299182</v>
      </c>
      <c r="G17">
        <f>E17-F17</f>
        <v/>
      </c>
    </row>
    <row r="18">
      <c r="A18" t="inlineStr">
        <is>
          <t>Parintins</t>
        </is>
      </c>
      <c r="B18" t="n">
        <v>2023</v>
      </c>
      <c r="C18">
        <f>'Parintins'!P9</f>
        <v/>
      </c>
      <c r="D18" t="n">
        <v>90.5289778387796</v>
      </c>
      <c r="E18">
        <f>'Parintins'!X9</f>
        <v/>
      </c>
      <c r="F18" t="n">
        <v>4583.996414492874</v>
      </c>
      <c r="G18">
        <f>E18-F18</f>
        <v/>
      </c>
    </row>
    <row r="19">
      <c r="A19" t="inlineStr">
        <is>
          <t>Parintins</t>
        </is>
      </c>
      <c r="B19" t="n">
        <v>2024</v>
      </c>
      <c r="C19">
        <f>'Parintins'!P10</f>
        <v/>
      </c>
      <c r="D19" t="n">
        <v>85.94332825745965</v>
      </c>
      <c r="E19">
        <f>'Parintins'!X10</f>
        <v/>
      </c>
      <c r="F19" t="n">
        <v>6227.162010957984</v>
      </c>
      <c r="G19">
        <f>E19-F19</f>
        <v/>
      </c>
    </row>
    <row r="20">
      <c r="A20" t="inlineStr">
        <is>
          <t>Parintins</t>
        </is>
      </c>
      <c r="B20" t="n">
        <v>2025</v>
      </c>
      <c r="C20">
        <f>'Parintins'!P11</f>
        <v/>
      </c>
      <c r="D20" t="n">
        <v>88.65481215703488</v>
      </c>
      <c r="E20">
        <f>'Parintins'!X11</f>
        <v/>
      </c>
      <c r="F20" t="n">
        <v>6439.762309361347</v>
      </c>
      <c r="G20">
        <f>E20-F20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2026-10-23T20:04:42Z</dcterms:created>
  <dcterms:modified xsi:type="dcterms:W3CDTF">2026-10-23T20:04:42Z</dcterms:modified>
</cp:coreProperties>
</file>